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mba\Desktop\Datasets\"/>
    </mc:Choice>
  </mc:AlternateContent>
  <xr:revisionPtr revIDLastSave="0" documentId="13_ncr:1_{876D9381-E1A9-4440-9149-1E1E538D97DA}" xr6:coauthVersionLast="47" xr6:coauthVersionMax="47" xr10:uidLastSave="{00000000-0000-0000-0000-000000000000}"/>
  <bookViews>
    <workbookView xWindow="-110" yWindow="-110" windowWidth="19420" windowHeight="10300" firstSheet="3" activeTab="5" xr2:uid="{00000000-000D-0000-FFFF-FFFF00000000}"/>
  </bookViews>
  <sheets>
    <sheet name="Market Cap by Sector" sheetId="2" r:id="rId1"/>
    <sheet name="Top Companies" sheetId="3" r:id="rId2"/>
    <sheet name="Dividend Yield" sheetId="4" r:id="rId3"/>
    <sheet name="P E by Sector" sheetId="5" r:id="rId4"/>
    <sheet name="Trading Volume" sheetId="6" r:id="rId5"/>
    <sheet name="NSE_Stocks_40" sheetId="1" r:id="rId6"/>
  </sheets>
  <calcPr calcId="191029"/>
  <pivotCaches>
    <pivotCache cacheId="1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<sst xmlns="http://schemas.openxmlformats.org/spreadsheetml/2006/main" count="305" uniqueCount="115">
  <si>
    <t>Company</t>
  </si>
  <si>
    <t>Symbol</t>
  </si>
  <si>
    <t>Sector</t>
  </si>
  <si>
    <t>Price (KES)</t>
  </si>
  <si>
    <t>Change %</t>
  </si>
  <si>
    <t>Volume</t>
  </si>
  <si>
    <t>Market Cap</t>
  </si>
  <si>
    <t>P/E</t>
  </si>
  <si>
    <t>EPS</t>
  </si>
  <si>
    <t>EPS Growth %</t>
  </si>
  <si>
    <t>Dividend Yield %</t>
  </si>
  <si>
    <t>Analyst Rating</t>
  </si>
  <si>
    <t>Absa Bank Kenya Plc</t>
  </si>
  <si>
    <t>ABSA</t>
  </si>
  <si>
    <t>Finance</t>
  </si>
  <si>
    <t>Neutral</t>
  </si>
  <si>
    <t>Africa Mega Agricorp PLC</t>
  </si>
  <si>
    <t>AMAC</t>
  </si>
  <si>
    <t>Process industries</t>
  </si>
  <si>
    <t>No rating</t>
  </si>
  <si>
    <t>British American Tobacco Kenya PLC</t>
  </si>
  <si>
    <t>BAT</t>
  </si>
  <si>
    <t>Consumer non-durables</t>
  </si>
  <si>
    <t>BK Group Plc</t>
  </si>
  <si>
    <t>BKG</t>
  </si>
  <si>
    <t>B.O.C Kenya Ltd</t>
  </si>
  <si>
    <t>BOC</t>
  </si>
  <si>
    <t>Britam Holdings PLC</t>
  </si>
  <si>
    <t>BRIT</t>
  </si>
  <si>
    <t>Carbacid Investments Ltd</t>
  </si>
  <si>
    <t>CARB</t>
  </si>
  <si>
    <t>Car &amp; General Kenya PLC</t>
  </si>
  <si>
    <t>CGEN</t>
  </si>
  <si>
    <t>Distribution services</t>
  </si>
  <si>
    <t>CIC Insurance Group PLC</t>
  </si>
  <si>
    <t>CIC</t>
  </si>
  <si>
    <t>Co-operative Bank of Kenya Ltd</t>
  </si>
  <si>
    <t>COOP</t>
  </si>
  <si>
    <t>Crown Paints Kenya PLC</t>
  </si>
  <si>
    <t>CRWN</t>
  </si>
  <si>
    <t>Centum Investment Company PLC</t>
  </si>
  <si>
    <t>CTUM</t>
  </si>
  <si>
    <t>Diamond Trust Bank Kenya Ltd</t>
  </si>
  <si>
    <t>DTK</t>
  </si>
  <si>
    <t>East African Breweries PLC</t>
  </si>
  <si>
    <t>EABL</t>
  </si>
  <si>
    <t>Eaagads Ltd</t>
  </si>
  <si>
    <t>EGAD</t>
  </si>
  <si>
    <t>Equity Group Holdings Ltd</t>
  </si>
  <si>
    <t>EQTY</t>
  </si>
  <si>
    <t>Buy</t>
  </si>
  <si>
    <t>Eveready East Africa PLC</t>
  </si>
  <si>
    <t>EVRD</t>
  </si>
  <si>
    <t>Producer manufacturing</t>
  </si>
  <si>
    <t>Flame Tree Group Holdings Ltd</t>
  </si>
  <si>
    <t>FTGH</t>
  </si>
  <si>
    <t>Home Afrika Ltd</t>
  </si>
  <si>
    <t>HAFR</t>
  </si>
  <si>
    <t>Consumer durables</t>
  </si>
  <si>
    <t>HF Group PLC</t>
  </si>
  <si>
    <t>HFCG</t>
  </si>
  <si>
    <t>I&amp;M Group PLC</t>
  </si>
  <si>
    <t>IMH</t>
  </si>
  <si>
    <t>Jubilee Holdings Ltd</t>
  </si>
  <si>
    <t>JUB</t>
  </si>
  <si>
    <t>Kapchorua Tea Kenya PLC</t>
  </si>
  <si>
    <t>KAPC</t>
  </si>
  <si>
    <t>KCB Group PLC</t>
  </si>
  <si>
    <t>KCB</t>
  </si>
  <si>
    <t>Strong buy</t>
  </si>
  <si>
    <t>Kenya Electricity Generating Company PLC</t>
  </si>
  <si>
    <t>KEGN</t>
  </si>
  <si>
    <t>Utilities</t>
  </si>
  <si>
    <t>Kenya Re-Insurance Corporation Ltd</t>
  </si>
  <si>
    <t>KNRE</t>
  </si>
  <si>
    <t>Kenya Power &amp; Lighting Company PLC</t>
  </si>
  <si>
    <t>KPLC</t>
  </si>
  <si>
    <t>Kenya Airways PLC</t>
  </si>
  <si>
    <t>KQ</t>
  </si>
  <si>
    <t>Transportation</t>
  </si>
  <si>
    <t>Kakuzi PLC</t>
  </si>
  <si>
    <t>KUKZ</t>
  </si>
  <si>
    <t>Liberty Kenya Holdings Ltd</t>
  </si>
  <si>
    <t>LBTY</t>
  </si>
  <si>
    <t>Limuru Tea PLC</t>
  </si>
  <si>
    <t>LIMT</t>
  </si>
  <si>
    <t>Longhorn Publishers PLC</t>
  </si>
  <si>
    <t>LKL</t>
  </si>
  <si>
    <t>Consumer services</t>
  </si>
  <si>
    <t>NCBA Group PLC</t>
  </si>
  <si>
    <t>NCBA</t>
  </si>
  <si>
    <t>Nation Media Group Ltd</t>
  </si>
  <si>
    <t>NMG</t>
  </si>
  <si>
    <t>Nairobi Securities Exchange PLC</t>
  </si>
  <si>
    <t>NSE</t>
  </si>
  <si>
    <t>Olympia Capital Holdings Ltd</t>
  </si>
  <si>
    <t>OCH</t>
  </si>
  <si>
    <t>East African Portland Cement PLC</t>
  </si>
  <si>
    <t>PORT</t>
  </si>
  <si>
    <t>Non-energy minerals</t>
  </si>
  <si>
    <t>Sasini PLC</t>
  </si>
  <si>
    <t>SASN</t>
  </si>
  <si>
    <t>Stanbic Holdings PLC</t>
  </si>
  <si>
    <t>SBIC</t>
  </si>
  <si>
    <t>Standard Chartered Bank Kenya Ltd</t>
  </si>
  <si>
    <t>SCBK</t>
  </si>
  <si>
    <t>Safaricom PLC</t>
  </si>
  <si>
    <t>SCOM</t>
  </si>
  <si>
    <t>Communications</t>
  </si>
  <si>
    <t>Grand Total</t>
  </si>
  <si>
    <t>Total Market Cap</t>
  </si>
  <si>
    <t>Average of Dividend Yield %</t>
  </si>
  <si>
    <t>Average of P/E</t>
  </si>
  <si>
    <t xml:space="preserve"> Volume</t>
  </si>
  <si>
    <t>Market Cap.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</si>
</sst>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0" fontId="0" fillId="0" borderId="0" xfId="0" applyNumberFormat="1"/>
    <xf numFmtId="2" fontId="0" fillId="0" borderId="0" xfId="0" applyNumberFormat="1"/>
    <xf numFmtId="43" fontId="0" fillId="0" borderId="0" xfId="1" applyFont="1"/>
    <xf numFmtId="167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</cellXfs>
  <cellStyles count="2">
    <cellStyle name="Comma" xfId="1" builtinId="3"/>
    <cellStyle name="Normal" xfId="0" builtinId="0"/>
  </cellStyles>
  <dxfs count="14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2" formatCode="0.00"/>
    </dxf>
    <dxf>
      <numFmt numFmtId="14" formatCode="0.00%"/>
    </dxf>
    <dxf>
      <numFmt numFmtId="167" formatCode="_-* #,##0_-;\-* #,##0_-;_-* &quot;-&quot;??_-;_-@_-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[NSE_Stocks_40_Companies.xlsx]Market Cap by Sector!PivotTable1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Market Cap by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'Market Cap by Sector'!$B$3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'Market Cap by Sector'!$A$4:$A$15</c:f>
              <c:strCache>
                <c:ptCount val="11"/>
                <c:pt idx="0">
                  <c:v>Finance</c:v>
                </c:pt>
                <c:pt idx="1">
                  <c:v>Communications</c:v>
                </c:pt>
                <c:pt idx="2">
                  <c:v>Distribution services</c:v>
                </c:pt>
                <c:pt idx="3">
                  <c:v>Utilities</c:v>
                </c:pt>
                <c:pt idx="4">
                  <c:v>Consumer non-durables</c:v>
                </c:pt>
                <c:pt idx="5">
                  <c:v>Process industries</c:v>
                </c:pt>
                <c:pt idx="6">
                  <c:v>Transportation</c:v>
                </c:pt>
                <c:pt idx="7">
                  <c:v>Non-energy minerals</c:v>
                </c:pt>
                <c:pt idx="8">
                  <c:v>Consumer services</c:v>
                </c:pt>
                <c:pt idx="9">
                  <c:v>Producer manufacturing</c:v>
                </c:pt>
                <c:pt idx="10">
                  <c:v>Consumer durables</c:v>
                </c:pt>
              </c:strCache>
            </c:strRef>
          </c:cat>
          <c:val>
            <c:numRef>
              <c:f>'Market Cap by Sector'!$B$4:$B$15</c:f>
              <c:numCache>
                <c:formatCode>_-* #,##0_-;\-* #,##0_-;_-* "-"??_-;_-@_-</c:formatCode>
                <c:ptCount val="11"/>
                <c:pt idx="0">
                  <c:v>1543710000000</c:v>
                </c:pt>
                <c:pt idx="1">
                  <c:v>1210000000000</c:v>
                </c:pt>
                <c:pt idx="2">
                  <c:v>206840000000</c:v>
                </c:pt>
                <c:pt idx="3">
                  <c:v>94470000000</c:v>
                </c:pt>
                <c:pt idx="4">
                  <c:v>56445000000</c:v>
                </c:pt>
                <c:pt idx="5">
                  <c:v>39210000000</c:v>
                </c:pt>
                <c:pt idx="6">
                  <c:v>27200000000</c:v>
                </c:pt>
                <c:pt idx="7">
                  <c:v>7400000000</c:v>
                </c:pt>
                <c:pt idx="8">
                  <c:v>3464000000</c:v>
                </c:pt>
                <c:pt idx="9">
                  <c:v>965000000</c:v>
                </c:pt>
                <c:pt idx="10">
                  <c:v>591000000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7-4B39-97AF-CAA43EC02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[NSE_Stocks_40_Companies.xlsx]Top Companies!PivotTable2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Companies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8682173761337305"/>
          <c:y val="0.18917096086945362"/>
          <c:w val="0.30485995319025255"/>
          <c:h val="0.7336622543372888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'Top Companies'!$B$3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Companies'!$A$4:$A$14</c:f>
              <c:strCache>
                <c:ptCount val="10"/>
                <c:pt idx="0">
                  <c:v>I&amp;M Group PLC</c:v>
                </c:pt>
                <c:pt idx="1">
                  <c:v>Stanbic Holdings PLC</c:v>
                </c:pt>
                <c:pt idx="2">
                  <c:v>Standard Chartered Bank Kenya Ltd</c:v>
                </c:pt>
                <c:pt idx="3">
                  <c:v>NCBA Group PLC</c:v>
                </c:pt>
                <c:pt idx="4">
                  <c:v>Absa Bank Kenya Plc</c:v>
                </c:pt>
                <c:pt idx="5">
                  <c:v>Co-operative Bank of Kenya Ltd</c:v>
                </c:pt>
                <c:pt idx="6">
                  <c:v>East African Breweries PLC</c:v>
                </c:pt>
                <c:pt idx="7">
                  <c:v>KCB Group PLC</c:v>
                </c:pt>
                <c:pt idx="8">
                  <c:v>Equity Group Holdings Ltd</c:v>
                </c:pt>
                <c:pt idx="9">
                  <c:v>Safaricom PLC</c:v>
                </c:pt>
              </c:strCache>
            </c:strRef>
          </c:cat>
          <c:val>
            <c:numRef>
              <c:f>'Top Companies'!$B$4:$B$14</c:f>
              <c:numCache>
                <c:formatCode>_-* #,##0_-;\-* #,##0_-;_-* "-"??_-;_-@_-</c:formatCode>
                <c:ptCount val="10"/>
                <c:pt idx="0">
                  <c:v>81940000000</c:v>
                </c:pt>
                <c:pt idx="1">
                  <c:v>100810000000</c:v>
                </c:pt>
                <c:pt idx="2">
                  <c:v>128570000000</c:v>
                </c:pt>
                <c:pt idx="3">
                  <c:v>144980000000</c:v>
                </c:pt>
                <c:pt idx="4">
                  <c:v>163760000000</c:v>
                </c:pt>
                <c:pt idx="5">
                  <c:v>176020000000</c:v>
                </c:pt>
                <c:pt idx="6">
                  <c:v>201710000000</c:v>
                </c:pt>
                <c:pt idx="7">
                  <c:v>249040000000</c:v>
                </c:pt>
                <c:pt idx="8">
                  <c:v>281140000000</c:v>
                </c:pt>
                <c:pt idx="9">
                  <c:v>1210000000000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0-4FF2-9648-864F15FC6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120194448"/>
        <c:axId val="2120190816"/>
      </c:barChart>
      <c:catAx>
        <c:axId val="21201944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120190816"/>
        <c:crosses val="autoZero"/>
        <c:auto val="1"/>
        <c:lblAlgn val="ctr"/>
        <c:lblOffset val="100"/>
        <c:noMultiLvlLbl val="0"/>
      </c:catAx>
      <c:valAx>
        <c:axId val="2120190816"/>
        <c:scaling>
          <c:orientation val="minMax"/>
        </c:scaling>
        <c:delete val="0"/>
        <c:axPos val="b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12019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[NSE_Stocks_40_Companies.xlsx]Dividend Yield!PivotTable3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Dividend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'Dividend Yield'!$B$3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'Dividend Yield'!$A$4:$A$45</c:f>
              <c:strCache>
                <c:ptCount val="41"/>
                <c:pt idx="0">
                  <c:v>Standard Chartered Bank Kenya Ltd</c:v>
                </c:pt>
                <c:pt idx="1">
                  <c:v>Kapchorua Tea Kenya PLC</c:v>
                </c:pt>
                <c:pt idx="2">
                  <c:v>Liberty Kenya Holdings Ltd</c:v>
                </c:pt>
                <c:pt idx="3">
                  <c:v>British American Tobacco Kenya PLC</c:v>
                </c:pt>
                <c:pt idx="4">
                  <c:v>Kenya Electricity Generating Company PLC</c:v>
                </c:pt>
                <c:pt idx="5">
                  <c:v>Stanbic Holdings PLC</c:v>
                </c:pt>
                <c:pt idx="6">
                  <c:v>Co-operative Bank of Kenya Ltd</c:v>
                </c:pt>
                <c:pt idx="7">
                  <c:v>B.O.C Kenya Ltd</c:v>
                </c:pt>
                <c:pt idx="8">
                  <c:v>Carbacid Investments Ltd</c:v>
                </c:pt>
                <c:pt idx="9">
                  <c:v>NCBA Group PLC</c:v>
                </c:pt>
                <c:pt idx="10">
                  <c:v>I&amp;M Group PLC</c:v>
                </c:pt>
                <c:pt idx="11">
                  <c:v>Kenya Power &amp; Lighting Company PLC</c:v>
                </c:pt>
                <c:pt idx="12">
                  <c:v>Absa Bank Kenya Plc</c:v>
                </c:pt>
                <c:pt idx="13">
                  <c:v>Equity Group Holdings Ltd</c:v>
                </c:pt>
                <c:pt idx="14">
                  <c:v>BK Group Plc</c:v>
                </c:pt>
                <c:pt idx="15">
                  <c:v>Crown Paints Kenya PLC</c:v>
                </c:pt>
                <c:pt idx="16">
                  <c:v>Safaricom PLC</c:v>
                </c:pt>
                <c:pt idx="17">
                  <c:v>KCB Group PLC</c:v>
                </c:pt>
                <c:pt idx="18">
                  <c:v>Diamond Trust Bank Kenya Ltd</c:v>
                </c:pt>
                <c:pt idx="19">
                  <c:v>Kenya Re-Insurance Corporation Ltd</c:v>
                </c:pt>
                <c:pt idx="20">
                  <c:v>East African Breweries PLC</c:v>
                </c:pt>
                <c:pt idx="21">
                  <c:v>Jubilee Holdings Ltd</c:v>
                </c:pt>
                <c:pt idx="22">
                  <c:v>CIC Insurance Group PLC</c:v>
                </c:pt>
                <c:pt idx="23">
                  <c:v>Centum Investment Company PLC</c:v>
                </c:pt>
                <c:pt idx="24">
                  <c:v>Kakuzi PLC</c:v>
                </c:pt>
                <c:pt idx="25">
                  <c:v>Nairobi Securities Exchange PLC</c:v>
                </c:pt>
                <c:pt idx="26">
                  <c:v>Car &amp; General Kenya PLC</c:v>
                </c:pt>
                <c:pt idx="27">
                  <c:v>East African Portland Cement PLC</c:v>
                </c:pt>
                <c:pt idx="28">
                  <c:v>Eaagads Ltd</c:v>
                </c:pt>
                <c:pt idx="29">
                  <c:v>Limuru Tea PLC</c:v>
                </c:pt>
                <c:pt idx="30">
                  <c:v>Longhorn Publishers PLC</c:v>
                </c:pt>
                <c:pt idx="31">
                  <c:v>Kenya Airways PLC</c:v>
                </c:pt>
                <c:pt idx="32">
                  <c:v>Nation Media Group Ltd</c:v>
                </c:pt>
                <c:pt idx="33">
                  <c:v>Britam Holdings PLC</c:v>
                </c:pt>
                <c:pt idx="34">
                  <c:v>Olympia Capital Holdings Ltd</c:v>
                </c:pt>
                <c:pt idx="35">
                  <c:v>Eveready East Africa PLC</c:v>
                </c:pt>
                <c:pt idx="36">
                  <c:v>Sasini PLC</c:v>
                </c:pt>
                <c:pt idx="37">
                  <c:v>Flame Tree Group Holdings Ltd</c:v>
                </c:pt>
                <c:pt idx="38">
                  <c:v>Africa Mega Agricorp PLC</c:v>
                </c:pt>
                <c:pt idx="39">
                  <c:v>HF Group PLC</c:v>
                </c:pt>
                <c:pt idx="40">
                  <c:v>Home Afrika Ltd</c:v>
                </c:pt>
              </c:strCache>
            </c:strRef>
          </c:cat>
          <c:val>
            <c:numRef>
              <c:f>'Dividend Yield'!$B$4:$B$45</c:f>
              <c:numCache>
                <c:formatCode>0.00</c:formatCode>
                <c:ptCount val="41"/>
                <c:pt idx="0">
                  <c:v>12.67</c:v>
                </c:pt>
                <c:pt idx="1">
                  <c:v>10.130000000000001</c:v>
                </c:pt>
                <c:pt idx="2">
                  <c:v>9.85</c:v>
                </c:pt>
                <c:pt idx="3">
                  <c:v>9.77</c:v>
                </c:pt>
                <c:pt idx="4">
                  <c:v>9.68</c:v>
                </c:pt>
                <c:pt idx="5">
                  <c:v>8.9</c:v>
                </c:pt>
                <c:pt idx="6">
                  <c:v>8.3800000000000008</c:v>
                </c:pt>
                <c:pt idx="7">
                  <c:v>6.88</c:v>
                </c:pt>
                <c:pt idx="8">
                  <c:v>6.6</c:v>
                </c:pt>
                <c:pt idx="9">
                  <c:v>6.55</c:v>
                </c:pt>
                <c:pt idx="10">
                  <c:v>6.45</c:v>
                </c:pt>
                <c:pt idx="11">
                  <c:v>5.92</c:v>
                </c:pt>
                <c:pt idx="12">
                  <c:v>5.92</c:v>
                </c:pt>
                <c:pt idx="13">
                  <c:v>5.7</c:v>
                </c:pt>
                <c:pt idx="14">
                  <c:v>5.69</c:v>
                </c:pt>
                <c:pt idx="15">
                  <c:v>5.24</c:v>
                </c:pt>
                <c:pt idx="16">
                  <c:v>4.88</c:v>
                </c:pt>
                <c:pt idx="17">
                  <c:v>4.71</c:v>
                </c:pt>
                <c:pt idx="18">
                  <c:v>4.51</c:v>
                </c:pt>
                <c:pt idx="19">
                  <c:v>4.37</c:v>
                </c:pt>
                <c:pt idx="20">
                  <c:v>3.8</c:v>
                </c:pt>
                <c:pt idx="21">
                  <c:v>3.52</c:v>
                </c:pt>
                <c:pt idx="22">
                  <c:v>2.44</c:v>
                </c:pt>
                <c:pt idx="23">
                  <c:v>2.23</c:v>
                </c:pt>
                <c:pt idx="24">
                  <c:v>1.9</c:v>
                </c:pt>
                <c:pt idx="25">
                  <c:v>1.5</c:v>
                </c:pt>
                <c:pt idx="26">
                  <c:v>1.24</c:v>
                </c:pt>
                <c:pt idx="27">
                  <c:v>1.19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0-4FBF-8A32-4E5D448C3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128752"/>
        <c:axId val="1450129232"/>
      </c:barChart>
      <c:catAx>
        <c:axId val="145012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50129232"/>
        <c:crosses val="autoZero"/>
        <c:auto val="1"/>
        <c:lblAlgn val="ctr"/>
        <c:lblOffset val="100"/>
        <c:noMultiLvlLbl val="0"/>
      </c:catAx>
      <c:valAx>
        <c:axId val="145012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5012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[NSE_Stocks_40_Companies.xlsx]P E by Sector!PivotTable4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 E by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 E by Sector'!$B$3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 E by Sector'!$A$4:$A$15</c:f>
              <c:strCache>
                <c:ptCount val="11"/>
                <c:pt idx="0">
                  <c:v>Producer manufacturing</c:v>
                </c:pt>
                <c:pt idx="1">
                  <c:v>Distribution services</c:v>
                </c:pt>
                <c:pt idx="2">
                  <c:v>Process industries</c:v>
                </c:pt>
                <c:pt idx="3">
                  <c:v>Communications</c:v>
                </c:pt>
                <c:pt idx="4">
                  <c:v>Consumer non-durables</c:v>
                </c:pt>
                <c:pt idx="5">
                  <c:v>Consumer durables</c:v>
                </c:pt>
                <c:pt idx="6">
                  <c:v>Finance</c:v>
                </c:pt>
                <c:pt idx="7">
                  <c:v>Utilities</c:v>
                </c:pt>
                <c:pt idx="8">
                  <c:v>Transportation</c:v>
                </c:pt>
                <c:pt idx="9">
                  <c:v>Consumer services</c:v>
                </c:pt>
                <c:pt idx="10">
                  <c:v>Non-energy minerals</c:v>
                </c:pt>
              </c:strCache>
            </c:strRef>
          </c:cat>
          <c:val>
            <c:numRef>
              <c:f>'P E by Sector'!$B$4:$B$15</c:f>
              <c:numCache>
                <c:formatCode>0.00</c:formatCode>
                <c:ptCount val="11"/>
                <c:pt idx="0">
                  <c:v>16.100000000000001</c:v>
                </c:pt>
                <c:pt idx="1">
                  <c:v>15.96</c:v>
                </c:pt>
                <c:pt idx="2">
                  <c:v>14.807500000000001</c:v>
                </c:pt>
                <c:pt idx="3">
                  <c:v>14.51</c:v>
                </c:pt>
                <c:pt idx="4">
                  <c:v>10.48</c:v>
                </c:pt>
                <c:pt idx="5">
                  <c:v>9.26</c:v>
                </c:pt>
                <c:pt idx="6">
                  <c:v>5.5492857142857135</c:v>
                </c:pt>
                <c:pt idx="7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5-4909-B23F-8B85BB88B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9633408"/>
        <c:axId val="1449633888"/>
      </c:barChart>
      <c:catAx>
        <c:axId val="144963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49633888"/>
        <c:crosses val="autoZero"/>
        <c:auto val="1"/>
        <c:lblAlgn val="ctr"/>
        <c:lblOffset val="100"/>
        <c:noMultiLvlLbl val="0"/>
      </c:catAx>
      <c:valAx>
        <c:axId val="144963388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4963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[NSE_Stocks_40_Companies.xlsx]Trading Volume!PivotTable5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Trading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'Trading Volume'!$B$3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'Trading Volume'!$A$4:$A$45</c:f>
              <c:strCache>
                <c:ptCount val="41"/>
                <c:pt idx="0">
                  <c:v>Safaricom PLC</c:v>
                </c:pt>
                <c:pt idx="1">
                  <c:v>Eveready East Africa PLC</c:v>
                </c:pt>
                <c:pt idx="2">
                  <c:v>Equity Group Holdings Ltd</c:v>
                </c:pt>
                <c:pt idx="3">
                  <c:v>Kenya Re-Insurance Corporation Ltd</c:v>
                </c:pt>
                <c:pt idx="4">
                  <c:v>KCB Group PLC</c:v>
                </c:pt>
                <c:pt idx="5">
                  <c:v>Home Afrika Ltd</c:v>
                </c:pt>
                <c:pt idx="6">
                  <c:v>Kenya Electricity Generating Company PLC</c:v>
                </c:pt>
                <c:pt idx="7">
                  <c:v>Kenya Power &amp; Lighting Company PLC</c:v>
                </c:pt>
                <c:pt idx="8">
                  <c:v>I&amp;M Group PLC</c:v>
                </c:pt>
                <c:pt idx="9">
                  <c:v>Absa Bank Kenya Plc</c:v>
                </c:pt>
                <c:pt idx="10">
                  <c:v>Co-operative Bank of Kenya Ltd</c:v>
                </c:pt>
                <c:pt idx="11">
                  <c:v>Stanbic Holdings PLC</c:v>
                </c:pt>
                <c:pt idx="12">
                  <c:v>CIC Insurance Group PLC</c:v>
                </c:pt>
                <c:pt idx="13">
                  <c:v>Carbacid Investments Ltd</c:v>
                </c:pt>
                <c:pt idx="14">
                  <c:v>Nairobi Securities Exchange PLC</c:v>
                </c:pt>
                <c:pt idx="15">
                  <c:v>Centum Investment Company PLC</c:v>
                </c:pt>
                <c:pt idx="16">
                  <c:v>Flame Tree Group Holdings Ltd</c:v>
                </c:pt>
                <c:pt idx="17">
                  <c:v>HF Group PLC</c:v>
                </c:pt>
                <c:pt idx="18">
                  <c:v>Britam Holdings PLC</c:v>
                </c:pt>
                <c:pt idx="19">
                  <c:v>NCBA Group PLC</c:v>
                </c:pt>
                <c:pt idx="20">
                  <c:v>Diamond Trust Bank Kenya Ltd</c:v>
                </c:pt>
                <c:pt idx="21">
                  <c:v>B.O.C Kenya Ltd</c:v>
                </c:pt>
                <c:pt idx="22">
                  <c:v>Kenya Airways PLC</c:v>
                </c:pt>
                <c:pt idx="23">
                  <c:v>Sasini PLC</c:v>
                </c:pt>
                <c:pt idx="24">
                  <c:v>Standard Chartered Bank Kenya Ltd</c:v>
                </c:pt>
                <c:pt idx="25">
                  <c:v>Eaagads Ltd</c:v>
                </c:pt>
                <c:pt idx="26">
                  <c:v>British American Tobacco Kenya PLC</c:v>
                </c:pt>
                <c:pt idx="27">
                  <c:v>Liberty Kenya Holdings Ltd</c:v>
                </c:pt>
                <c:pt idx="28">
                  <c:v>Longhorn Publishers PLC</c:v>
                </c:pt>
                <c:pt idx="29">
                  <c:v>East African Breweries PLC</c:v>
                </c:pt>
                <c:pt idx="30">
                  <c:v>BK Group Plc</c:v>
                </c:pt>
                <c:pt idx="31">
                  <c:v>Crown Paints Kenya PLC</c:v>
                </c:pt>
                <c:pt idx="32">
                  <c:v>Nation Media Group Ltd</c:v>
                </c:pt>
                <c:pt idx="33">
                  <c:v>Car &amp; General Kenya PLC</c:v>
                </c:pt>
                <c:pt idx="34">
                  <c:v>East African Portland Cement PLC</c:v>
                </c:pt>
                <c:pt idx="35">
                  <c:v>Africa Mega Agricorp PLC</c:v>
                </c:pt>
                <c:pt idx="36">
                  <c:v>Jubilee Holdings Ltd</c:v>
                </c:pt>
                <c:pt idx="37">
                  <c:v>Olympia Capital Holdings Ltd</c:v>
                </c:pt>
                <c:pt idx="38">
                  <c:v>Kapchorua Tea Kenya PLC</c:v>
                </c:pt>
                <c:pt idx="39">
                  <c:v>Kakuzi PLC</c:v>
                </c:pt>
                <c:pt idx="40">
                  <c:v>Limuru Tea PLC</c:v>
                </c:pt>
              </c:strCache>
            </c:strRef>
          </c:cat>
          <c:val>
            <c:numRef>
              <c:f>'Trading Volume'!$B$4:$B$45</c:f>
              <c:numCache>
                <c:formatCode>_-* #,##0_-;\-* #,##0_-;_-* "-"??_-;_-@_-</c:formatCode>
                <c:ptCount val="41"/>
                <c:pt idx="0">
                  <c:v>19350000</c:v>
                </c:pt>
                <c:pt idx="1">
                  <c:v>6430000</c:v>
                </c:pt>
                <c:pt idx="2">
                  <c:v>4110000.0000000005</c:v>
                </c:pt>
                <c:pt idx="3">
                  <c:v>3490000</c:v>
                </c:pt>
                <c:pt idx="4">
                  <c:v>2780000</c:v>
                </c:pt>
                <c:pt idx="5">
                  <c:v>1700000</c:v>
                </c:pt>
                <c:pt idx="6">
                  <c:v>1140000</c:v>
                </c:pt>
                <c:pt idx="7">
                  <c:v>1050000</c:v>
                </c:pt>
                <c:pt idx="8">
                  <c:v>644330</c:v>
                </c:pt>
                <c:pt idx="9">
                  <c:v>594430</c:v>
                </c:pt>
                <c:pt idx="10">
                  <c:v>392740</c:v>
                </c:pt>
                <c:pt idx="11">
                  <c:v>357460</c:v>
                </c:pt>
                <c:pt idx="12">
                  <c:v>346140</c:v>
                </c:pt>
                <c:pt idx="13">
                  <c:v>232450</c:v>
                </c:pt>
                <c:pt idx="14">
                  <c:v>228740</c:v>
                </c:pt>
                <c:pt idx="15">
                  <c:v>210600</c:v>
                </c:pt>
                <c:pt idx="16">
                  <c:v>170540</c:v>
                </c:pt>
                <c:pt idx="17">
                  <c:v>169160</c:v>
                </c:pt>
                <c:pt idx="18">
                  <c:v>146190</c:v>
                </c:pt>
                <c:pt idx="19">
                  <c:v>71050</c:v>
                </c:pt>
                <c:pt idx="20">
                  <c:v>55910</c:v>
                </c:pt>
                <c:pt idx="21">
                  <c:v>45090</c:v>
                </c:pt>
                <c:pt idx="22">
                  <c:v>35640</c:v>
                </c:pt>
                <c:pt idx="23">
                  <c:v>34410</c:v>
                </c:pt>
                <c:pt idx="24">
                  <c:v>13660</c:v>
                </c:pt>
                <c:pt idx="25">
                  <c:v>13340</c:v>
                </c:pt>
                <c:pt idx="26">
                  <c:v>12200</c:v>
                </c:pt>
                <c:pt idx="27">
                  <c:v>11610</c:v>
                </c:pt>
                <c:pt idx="28">
                  <c:v>8550</c:v>
                </c:pt>
                <c:pt idx="29">
                  <c:v>6860</c:v>
                </c:pt>
                <c:pt idx="30">
                  <c:v>6160</c:v>
                </c:pt>
                <c:pt idx="31">
                  <c:v>3050</c:v>
                </c:pt>
                <c:pt idx="32">
                  <c:v>2720</c:v>
                </c:pt>
                <c:pt idx="33">
                  <c:v>2060</c:v>
                </c:pt>
                <c:pt idx="34">
                  <c:v>1310</c:v>
                </c:pt>
                <c:pt idx="35">
                  <c:v>1230</c:v>
                </c:pt>
                <c:pt idx="36">
                  <c:v>916</c:v>
                </c:pt>
                <c:pt idx="37">
                  <c:v>713</c:v>
                </c:pt>
                <c:pt idx="38">
                  <c:v>566</c:v>
                </c:pt>
                <c:pt idx="39">
                  <c:v>101</c:v>
                </c:pt>
                <c:pt idx="4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2-4A51-A991-62AF4632E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15440"/>
        <c:axId val="2120050704"/>
      </c:barChart>
      <c:catAx>
        <c:axId val="1417154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120050704"/>
        <c:crosses val="autoZero"/>
        <c:auto val="1"/>
        <c:lblAlgn val="ctr"/>
        <c:lblOffset val="100"/>
        <c:noMultiLvlLbl val="0"/>
      </c:catAx>
      <c:valAx>
        <c:axId val="2120050704"/>
        <c:scaling>
          <c:orientation val="minMax"/>
        </c:scaling>
        <c:delete val="0"/>
        <c:axPos val="b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171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228599</xdr:colOff>
      <xdr:row>0</xdr:row>
      <xdr:rowOff>130174</xdr:rowOff>
    </xdr:from>
    <xdr:to>
      <xdr:col>10</xdr:col>
      <xdr:colOff>381000</xdr:colOff>
      <xdr:row>18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C564AE-E716-6782-1217-30739BBDF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231775</xdr:colOff>
      <xdr:row>0</xdr:row>
      <xdr:rowOff>103188</xdr:rowOff>
    </xdr:from>
    <xdr:to>
      <xdr:col>9</xdr:col>
      <xdr:colOff>31751</xdr:colOff>
      <xdr:row>20</xdr:row>
      <xdr:rowOff>79376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B738B8-C026-9811-B159-3FF988EC6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2</xdr:row>
      <xdr:rowOff>12700</xdr:rowOff>
    </xdr:from>
    <xdr:to>
      <xdr:col>10</xdr:col>
      <xdr:colOff>0</xdr:colOff>
      <xdr:row>16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26D3C3-2048-79B9-41F1-3421B14D2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184150</xdr:colOff>
      <xdr:row>1</xdr:row>
      <xdr:rowOff>161925</xdr:rowOff>
    </xdr:from>
    <xdr:to>
      <xdr:col>7</xdr:col>
      <xdr:colOff>590550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A9E04D-F6A3-53B7-F169-DAAB11E42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2</xdr:row>
      <xdr:rowOff>92075</xdr:rowOff>
    </xdr:from>
    <xdr:to>
      <xdr:col>9</xdr:col>
      <xdr:colOff>381000</xdr:colOff>
      <xdr:row>17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DAC988-3FD3-B82E-B828-AE1CAC89E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mba" refreshedDate="46088.898504745368" createdVersion="8" refreshedVersion="8" minRefreshableVersion="3" recordCount="41" xr:uid="{90F52449-36C5-4BD1-912B-8535B6A89C21}">
  <cacheSource type="worksheet">
    <worksheetSource name="NSE_Stocks"/>
  </cacheSource>
  <cacheFields count="12">
    <cacheField name="Company" numFmtId="0">
      <sharedItems count="41">
        <s v="Absa Bank Kenya Plc"/>
        <s v="Africa Mega Agricorp PLC"/>
        <s v="British American Tobacco Kenya PLC"/>
        <s v="BK Group Plc"/>
        <s v="B.O.C Kenya Ltd"/>
        <s v="Britam Holdings PLC"/>
        <s v="Carbacid Investments Ltd"/>
        <s v="Car &amp; General Kenya PLC"/>
        <s v="CIC Insurance Group PLC"/>
        <s v="Co-operative Bank of Kenya Ltd"/>
        <s v="Crown Paints Kenya PLC"/>
        <s v="Centum Investment Company PLC"/>
        <s v="Diamond Trust Bank Kenya Ltd"/>
        <s v="East African Breweries PLC"/>
        <s v="Eaagads Ltd"/>
        <s v="Equity Group Holdings Ltd"/>
        <s v="Eveready East Africa PLC"/>
        <s v="Flame Tree Group Holdings Ltd"/>
        <s v="Home Afrika Ltd"/>
        <s v="HF Group PLC"/>
        <s v="I&amp;M Group PLC"/>
        <s v="Jubilee Holdings Ltd"/>
        <s v="Kapchorua Tea Kenya PLC"/>
        <s v="KCB Group PLC"/>
        <s v="Kenya Electricity Generating Company PLC"/>
        <s v="Kenya Re-Insurance Corporation Ltd"/>
        <s v="Kenya Power &amp; Lighting Company PLC"/>
        <s v="Kenya Airways PLC"/>
        <s v="Kakuzi PLC"/>
        <s v="Liberty Kenya Holdings Ltd"/>
        <s v="Limuru Tea PLC"/>
        <s v="Longhorn Publishers PLC"/>
        <s v="NCBA Group PLC"/>
        <s v="Nation Media Group Ltd"/>
        <s v="Nairobi Securities Exchange PLC"/>
        <s v="Olympia Capital Holdings Ltd"/>
        <s v="East African Portland Cement PLC"/>
        <s v="Sasini PLC"/>
        <s v="Stanbic Holdings PLC"/>
        <s v="Standard Chartered Bank Kenya Ltd"/>
        <s v="Safaricom PLC"/>
      </sharedItems>
    </cacheField>
    <cacheField name="Symbol" numFmtId="0">
      <sharedItems/>
    </cacheField>
    <cacheField name="Sector" numFmtId="0">
      <sharedItems count="11">
        <s v="Finance"/>
        <s v="Process industries"/>
        <s v="Consumer non-durables"/>
        <s v="Distribution services"/>
        <s v="Producer manufacturing"/>
        <s v="Consumer durables"/>
        <s v="Utilities"/>
        <s v="Transportation"/>
        <s v="Consumer services"/>
        <s v="Non-energy minerals"/>
        <s v="Communications"/>
      </sharedItems>
    </cacheField>
    <cacheField name="Price (KES)" numFmtId="2">
      <sharedItems containsSemiMixedTypes="0" containsString="0" containsNumber="1" minValue="1.1299999999999999" maxValue="550"/>
    </cacheField>
    <cacheField name="Change %" numFmtId="10">
      <sharedItems containsSemiMixedTypes="0" containsString="0" containsNumber="1" minValue="-6.05" maxValue="10.23"/>
    </cacheField>
    <cacheField name="Volume" numFmtId="167">
      <sharedItems containsSemiMixedTypes="0" containsString="0" containsNumber="1" minValue="5" maxValue="19350000"/>
    </cacheField>
    <cacheField name="Market Cap" numFmtId="167">
      <sharedItems containsSemiMixedTypes="0" containsString="0" containsNumber="1" minValue="237000000" maxValue="1210000000000"/>
    </cacheField>
    <cacheField name="P/E" numFmtId="0">
      <sharedItems containsString="0" containsBlank="1" containsNumber="1" minValue="1.4" maxValue="34.43" count="25">
        <m/>
        <n v="10.48"/>
        <n v="4.71"/>
        <n v="6.26"/>
        <n v="7.69"/>
        <n v="6.33"/>
        <n v="9.3800000000000008"/>
        <n v="5.07"/>
        <n v="15.96"/>
        <n v="4.7300000000000004"/>
        <n v="2.0099999999999998"/>
        <n v="9.26"/>
        <n v="4"/>
        <n v="4.59"/>
        <n v="5.27"/>
        <n v="7.73"/>
        <n v="4.09"/>
        <n v="4.26"/>
        <n v="1.4"/>
        <n v="4.76"/>
        <n v="30.19"/>
        <n v="34.43"/>
        <n v="7.81"/>
        <n v="9.5500000000000007"/>
        <n v="14.51"/>
      </sharedItems>
    </cacheField>
    <cacheField name="EPS" numFmtId="0">
      <sharedItems containsString="0" containsBlank="1" containsNumber="1" minValue="-12.78" maxValue="72.819999999999993"/>
    </cacheField>
    <cacheField name="EPS Growth %" numFmtId="2">
      <sharedItems containsString="0" containsBlank="1" containsNumber="1" minValue="-11329.88" maxValue="90.65"/>
    </cacheField>
    <cacheField name="Dividend Yield %" numFmtId="2">
      <sharedItems containsSemiMixedTypes="0" containsString="0" containsNumber="1" minValue="0" maxValue="12.67" count="28">
        <n v="5.92"/>
        <n v="0"/>
        <n v="9.77"/>
        <n v="5.69"/>
        <n v="6.88"/>
        <n v="6.6"/>
        <n v="1.24"/>
        <n v="2.44"/>
        <n v="8.3800000000000008"/>
        <n v="5.24"/>
        <n v="2.23"/>
        <n v="4.51"/>
        <n v="3.8"/>
        <n v="5.7"/>
        <n v="6.45"/>
        <n v="3.52"/>
        <n v="10.130000000000001"/>
        <n v="4.71"/>
        <n v="9.68"/>
        <n v="4.37"/>
        <n v="1.9"/>
        <n v="9.85"/>
        <n v="6.55"/>
        <n v="1.5"/>
        <n v="1.19"/>
        <n v="8.9"/>
        <n v="12.67"/>
        <n v="4.88"/>
      </sharedItems>
    </cacheField>
    <cacheField name="Analyst Rat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s v="ABSA"/>
    <x v="0"/>
    <n v="30.3"/>
    <n v="1.17"/>
    <n v="594430"/>
    <n v="163760000000"/>
    <x v="0"/>
    <m/>
    <m/>
    <x v="0"/>
    <s v="Neutral"/>
  </r>
  <r>
    <x v="1"/>
    <s v="AMAC"/>
    <x v="1"/>
    <n v="107"/>
    <n v="2.88"/>
    <n v="1230"/>
    <n v="1310000000"/>
    <x v="0"/>
    <m/>
    <m/>
    <x v="1"/>
    <s v="No rating"/>
  </r>
  <r>
    <x v="2"/>
    <s v="BAT"/>
    <x v="2"/>
    <n v="550"/>
    <n v="-1.61"/>
    <n v="12200"/>
    <n v="55500000000"/>
    <x v="1"/>
    <n v="52.46"/>
    <n v="17.010000000000002"/>
    <x v="2"/>
    <s v="No rating"/>
  </r>
  <r>
    <x v="3"/>
    <s v="BKG"/>
    <x v="0"/>
    <n v="45.05"/>
    <n v="-6.05"/>
    <n v="6160"/>
    <n v="42460000000"/>
    <x v="2"/>
    <n v="9.56"/>
    <n v="-10.14"/>
    <x v="3"/>
    <s v="No rating"/>
  </r>
  <r>
    <x v="4"/>
    <s v="BOC"/>
    <x v="1"/>
    <n v="125"/>
    <n v="0.81"/>
    <n v="45090"/>
    <n v="2450000000"/>
    <x v="0"/>
    <m/>
    <m/>
    <x v="4"/>
    <s v="No rating"/>
  </r>
  <r>
    <x v="5"/>
    <s v="BRIT"/>
    <x v="0"/>
    <n v="11.8"/>
    <n v="1.29"/>
    <n v="146190"/>
    <n v="29270000000"/>
    <x v="3"/>
    <n v="1.89"/>
    <n v="30.37"/>
    <x v="1"/>
    <s v="No rating"/>
  </r>
  <r>
    <x v="6"/>
    <s v="CARB"/>
    <x v="1"/>
    <n v="30.25"/>
    <n v="0.83"/>
    <n v="232450"/>
    <n v="7630000000"/>
    <x v="4"/>
    <n v="3.94"/>
    <n v="18.93"/>
    <x v="5"/>
    <s v="No rating"/>
  </r>
  <r>
    <x v="7"/>
    <s v="CGEN"/>
    <x v="3"/>
    <n v="69"/>
    <n v="8.66"/>
    <n v="2060"/>
    <n v="5130000000"/>
    <x v="0"/>
    <m/>
    <m/>
    <x v="6"/>
    <s v="No rating"/>
  </r>
  <r>
    <x v="8"/>
    <s v="CIC"/>
    <x v="0"/>
    <n v="5.0999999999999996"/>
    <n v="4.51"/>
    <n v="346140"/>
    <n v="14130000000"/>
    <x v="0"/>
    <m/>
    <m/>
    <x v="7"/>
    <s v="No rating"/>
  </r>
  <r>
    <x v="9"/>
    <s v="COOP"/>
    <x v="0"/>
    <n v="30"/>
    <n v="0.33"/>
    <n v="392740"/>
    <n v="176020000000"/>
    <x v="5"/>
    <n v="4.74"/>
    <n v="15.88"/>
    <x v="8"/>
    <s v="Neutral"/>
  </r>
  <r>
    <x v="10"/>
    <s v="CRWN"/>
    <x v="1"/>
    <n v="59.75"/>
    <n v="-0.42"/>
    <n v="3050"/>
    <n v="7970000000"/>
    <x v="6"/>
    <n v="6.37"/>
    <m/>
    <x v="9"/>
    <s v="No rating"/>
  </r>
  <r>
    <x v="11"/>
    <s v="CTUM"/>
    <x v="0"/>
    <n v="15"/>
    <n v="-5.63"/>
    <n v="210600"/>
    <n v="9780000000"/>
    <x v="0"/>
    <m/>
    <m/>
    <x v="10"/>
    <s v="No rating"/>
  </r>
  <r>
    <x v="12"/>
    <s v="DTK"/>
    <x v="0"/>
    <n v="156"/>
    <n v="-0.64"/>
    <n v="55910"/>
    <n v="43900000000"/>
    <x v="7"/>
    <n v="30.78"/>
    <n v="16.489999999999998"/>
    <x v="11"/>
    <s v="Neutral"/>
  </r>
  <r>
    <x v="13"/>
    <s v="EABL"/>
    <x v="3"/>
    <n v="257"/>
    <n v="0.78"/>
    <n v="6860"/>
    <n v="201710000000"/>
    <x v="8"/>
    <n v="16.11"/>
    <n v="45.35"/>
    <x v="12"/>
    <s v="Neutral"/>
  </r>
  <r>
    <x v="14"/>
    <s v="EGAD"/>
    <x v="2"/>
    <n v="31"/>
    <n v="3.33"/>
    <n v="13340"/>
    <n v="945000000"/>
    <x v="0"/>
    <m/>
    <m/>
    <x v="1"/>
    <s v="No rating"/>
  </r>
  <r>
    <x v="15"/>
    <s v="EQTY"/>
    <x v="0"/>
    <n v="74.5"/>
    <n v="-0.67"/>
    <n v="4110000.0000000005"/>
    <n v="281140000000"/>
    <x v="9"/>
    <n v="15.74"/>
    <n v="27.22"/>
    <x v="13"/>
    <s v="Buy"/>
  </r>
  <r>
    <x v="16"/>
    <s v="EVRD"/>
    <x v="4"/>
    <n v="1.1299999999999999"/>
    <n v="9.7100000000000009"/>
    <n v="6430000"/>
    <n v="237000000"/>
    <x v="0"/>
    <m/>
    <m/>
    <x v="1"/>
    <s v="No rating"/>
  </r>
  <r>
    <x v="17"/>
    <s v="FTGH"/>
    <x v="4"/>
    <n v="2.44"/>
    <n v="4.2699999999999996"/>
    <n v="170540"/>
    <n v="418000000"/>
    <x v="10"/>
    <n v="1.21"/>
    <m/>
    <x v="1"/>
    <s v="No rating"/>
  </r>
  <r>
    <x v="18"/>
    <s v="HAFR"/>
    <x v="5"/>
    <n v="1.55"/>
    <n v="1.31"/>
    <n v="1700000"/>
    <n v="591000000"/>
    <x v="11"/>
    <n v="0.17"/>
    <n v="-30.65"/>
    <x v="1"/>
    <s v="No rating"/>
  </r>
  <r>
    <x v="19"/>
    <s v="HFCG"/>
    <x v="0"/>
    <n v="10.7"/>
    <n v="3.88"/>
    <n v="169160"/>
    <n v="19800000000"/>
    <x v="12"/>
    <n v="2.68"/>
    <n v="71.28"/>
    <x v="1"/>
    <s v="No rating"/>
  </r>
  <r>
    <x v="20"/>
    <s v="IMH"/>
    <x v="0"/>
    <n v="49.95"/>
    <n v="0.91"/>
    <n v="644330"/>
    <n v="81940000000"/>
    <x v="13"/>
    <n v="10.89"/>
    <n v="28.5"/>
    <x v="14"/>
    <s v="No rating"/>
  </r>
  <r>
    <x v="21"/>
    <s v="JUB"/>
    <x v="0"/>
    <n v="383.75"/>
    <n v="0"/>
    <n v="916"/>
    <n v="27450000000"/>
    <x v="14"/>
    <n v="72.819999999999993"/>
    <n v="8.16"/>
    <x v="15"/>
    <s v="No rating"/>
  </r>
  <r>
    <x v="22"/>
    <s v="KAPC"/>
    <x v="1"/>
    <n v="255"/>
    <n v="0.39"/>
    <n v="566"/>
    <n v="3820000000"/>
    <x v="15"/>
    <n v="32.99"/>
    <n v="29.39"/>
    <x v="16"/>
    <s v="No rating"/>
  </r>
  <r>
    <x v="23"/>
    <s v="KCB"/>
    <x v="0"/>
    <n v="78.5"/>
    <n v="4.32"/>
    <n v="2780000"/>
    <n v="249040000000"/>
    <x v="16"/>
    <n v="19.170000000000002"/>
    <n v="21.38"/>
    <x v="17"/>
    <s v="Strong buy"/>
  </r>
  <r>
    <x v="24"/>
    <s v="KEGN"/>
    <x v="6"/>
    <n v="9.2799999999999994"/>
    <n v="-0.22"/>
    <n v="1140000"/>
    <n v="61200000000"/>
    <x v="0"/>
    <m/>
    <m/>
    <x v="18"/>
    <s v="No rating"/>
  </r>
  <r>
    <x v="25"/>
    <s v="KNRE"/>
    <x v="0"/>
    <n v="3.77"/>
    <n v="10.23"/>
    <n v="3490000"/>
    <n v="19710000000"/>
    <x v="17"/>
    <n v="0.89"/>
    <n v="34.4"/>
    <x v="19"/>
    <s v="No rating"/>
  </r>
  <r>
    <x v="26"/>
    <s v="KPLC"/>
    <x v="6"/>
    <n v="17.5"/>
    <n v="2.34"/>
    <n v="1050000"/>
    <n v="33270000000.000004"/>
    <x v="18"/>
    <n v="12.54"/>
    <n v="-18.649999999999999"/>
    <x v="0"/>
    <s v="No rating"/>
  </r>
  <r>
    <x v="27"/>
    <s v="KQ"/>
    <x v="7"/>
    <n v="4.91"/>
    <n v="2.29"/>
    <n v="35640"/>
    <n v="27200000000"/>
    <x v="0"/>
    <n v="-1.27"/>
    <n v="-1494.08"/>
    <x v="1"/>
    <s v="No rating"/>
  </r>
  <r>
    <x v="28"/>
    <s v="KUKZ"/>
    <x v="1"/>
    <n v="430"/>
    <n v="-0.46"/>
    <n v="101"/>
    <n v="8410000000"/>
    <x v="0"/>
    <n v="-9.3699999999999992"/>
    <n v="-126.87"/>
    <x v="20"/>
    <s v="No rating"/>
  </r>
  <r>
    <x v="29"/>
    <s v="LBTY"/>
    <x v="0"/>
    <n v="10.25"/>
    <n v="3.54"/>
    <n v="11610"/>
    <n v="5380000000"/>
    <x v="19"/>
    <n v="2.15"/>
    <m/>
    <x v="21"/>
    <s v="No rating"/>
  </r>
  <r>
    <x v="30"/>
    <s v="LIMT"/>
    <x v="1"/>
    <n v="510"/>
    <n v="0"/>
    <n v="5"/>
    <n v="1230000000"/>
    <x v="0"/>
    <n v="-12.78"/>
    <n v="-11329.88"/>
    <x v="1"/>
    <s v="No rating"/>
  </r>
  <r>
    <x v="31"/>
    <s v="LKL"/>
    <x v="8"/>
    <n v="3.1"/>
    <n v="5.08"/>
    <n v="8550"/>
    <n v="814000000"/>
    <x v="0"/>
    <n v="-0.45"/>
    <n v="35.93"/>
    <x v="1"/>
    <s v="No rating"/>
  </r>
  <r>
    <x v="32"/>
    <s v="NCBA"/>
    <x v="0"/>
    <n v="88"/>
    <n v="0"/>
    <n v="71050"/>
    <n v="144980000000"/>
    <x v="3"/>
    <n v="14.06"/>
    <n v="5.71"/>
    <x v="22"/>
    <s v="No rating"/>
  </r>
  <r>
    <x v="33"/>
    <s v="NMG"/>
    <x v="8"/>
    <n v="14"/>
    <n v="0"/>
    <n v="2720"/>
    <n v="2650000000"/>
    <x v="0"/>
    <n v="-0.24"/>
    <n v="90.65"/>
    <x v="1"/>
    <s v="No rating"/>
  </r>
  <r>
    <x v="34"/>
    <s v="NSE"/>
    <x v="0"/>
    <n v="21.5"/>
    <n v="0.47"/>
    <n v="228740"/>
    <n v="5570000000"/>
    <x v="0"/>
    <m/>
    <m/>
    <x v="23"/>
    <s v="No rating"/>
  </r>
  <r>
    <x v="35"/>
    <s v="OCH"/>
    <x v="4"/>
    <n v="7.78"/>
    <n v="-2.75"/>
    <n v="713"/>
    <n v="310000000"/>
    <x v="20"/>
    <n v="0.26"/>
    <n v="-50.63"/>
    <x v="1"/>
    <s v="No rating"/>
  </r>
  <r>
    <x v="36"/>
    <s v="PORT"/>
    <x v="9"/>
    <n v="84"/>
    <n v="1.2"/>
    <n v="1310"/>
    <n v="7400000000"/>
    <x v="0"/>
    <m/>
    <m/>
    <x v="24"/>
    <s v="No rating"/>
  </r>
  <r>
    <x v="37"/>
    <s v="SASN"/>
    <x v="1"/>
    <n v="29"/>
    <n v="1.75"/>
    <n v="34410"/>
    <n v="6390000000"/>
    <x v="21"/>
    <n v="0.84"/>
    <m/>
    <x v="1"/>
    <s v="No rating"/>
  </r>
  <r>
    <x v="38"/>
    <s v="SBIC"/>
    <x v="0"/>
    <n v="257.75"/>
    <n v="0.1"/>
    <n v="357460"/>
    <n v="100810000000"/>
    <x v="22"/>
    <n v="33"/>
    <n v="5.9"/>
    <x v="25"/>
    <s v="No rating"/>
  </r>
  <r>
    <x v="39"/>
    <s v="SCBK"/>
    <x v="0"/>
    <n v="354"/>
    <n v="0.21"/>
    <n v="13660"/>
    <n v="128570000000"/>
    <x v="23"/>
    <n v="37.049999999999997"/>
    <n v="-29.79"/>
    <x v="26"/>
    <s v="Neutral"/>
  </r>
  <r>
    <x v="40"/>
    <s v="SCOM"/>
    <x v="10"/>
    <n v="30.6"/>
    <n v="-0.16"/>
    <n v="19350000"/>
    <n v="1210000000000"/>
    <x v="24"/>
    <n v="2.11"/>
    <n v="48.37"/>
    <x v="27"/>
    <s v="Bu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D607B1-7B36-4333-91E4-4E16DEDE043B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ector">
  <location ref="A3:B15" firstHeaderRow="1" firstDataRow="1" firstDataCol="1"/>
  <pivotFields count="12">
    <pivotField showAll="0"/>
    <pivotField showAll="0"/>
    <pivotField axis="axisRow" showAll="0" sortType="descending">
      <items count="12">
        <item x="10"/>
        <item x="5"/>
        <item x="2"/>
        <item x="8"/>
        <item x="3"/>
        <item x="0"/>
        <item x="9"/>
        <item x="1"/>
        <item x="4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10" showAll="0"/>
    <pivotField numFmtId="167" showAll="0"/>
    <pivotField dataField="1" numFmtId="167" showAll="0"/>
    <pivotField showAll="0"/>
    <pivotField showAll="0"/>
    <pivotField showAll="0"/>
    <pivotField numFmtId="2" showAll="0"/>
    <pivotField showAll="0"/>
  </pivotFields>
  <rowFields count="1">
    <field x="2"/>
  </rowFields>
  <rowItems count="12">
    <i>
      <x v="5"/>
    </i>
    <i>
      <x/>
    </i>
    <i>
      <x v="4"/>
    </i>
    <i>
      <x v="10"/>
    </i>
    <i>
      <x v="2"/>
    </i>
    <i>
      <x v="7"/>
    </i>
    <i>
      <x v="9"/>
    </i>
    <i>
      <x v="6"/>
    </i>
    <i>
      <x v="3"/>
    </i>
    <i>
      <x v="8"/>
    </i>
    <i>
      <x v="1"/>
    </i>
    <i t="grand">
      <x/>
    </i>
  </rowItems>
  <colItems count="1">
    <i/>
  </colItems>
  <dataFields count="1">
    <dataField name="Total Market Cap" fld="6" baseField="0" baseItem="0" numFmtId="167"/>
  </dataFields>
  <formats count="2">
    <format dxfId="7">
      <pivotArea collapsedLevelsAreSubtotals="1" fieldPosition="0">
        <references count="1">
          <reference field="2" count="1">
            <x v="5"/>
          </reference>
        </references>
      </pivotArea>
    </format>
    <format dxfId="6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90FB64-026D-48BA-9900-EDECCB37EEBF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ompany">
  <location ref="A3:B14" firstHeaderRow="1" firstDataRow="1" firstDataCol="1"/>
  <pivotFields count="12">
    <pivotField axis="axisRow" showAll="0" measureFilter="1" sortType="ascending">
      <items count="42">
        <item x="0"/>
        <item x="1"/>
        <item x="4"/>
        <item x="3"/>
        <item x="5"/>
        <item x="2"/>
        <item x="7"/>
        <item x="6"/>
        <item x="11"/>
        <item x="8"/>
        <item x="9"/>
        <item x="10"/>
        <item x="12"/>
        <item x="14"/>
        <item x="13"/>
        <item x="36"/>
        <item x="15"/>
        <item x="16"/>
        <item x="17"/>
        <item x="19"/>
        <item x="18"/>
        <item x="20"/>
        <item x="21"/>
        <item x="28"/>
        <item x="22"/>
        <item x="23"/>
        <item x="27"/>
        <item x="24"/>
        <item x="26"/>
        <item x="25"/>
        <item x="29"/>
        <item x="30"/>
        <item x="31"/>
        <item x="34"/>
        <item x="33"/>
        <item x="32"/>
        <item x="35"/>
        <item x="40"/>
        <item x="37"/>
        <item x="38"/>
        <item x="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  <pivotField numFmtId="10" showAll="0"/>
    <pivotField numFmtId="167" showAll="0"/>
    <pivotField dataField="1" numFmtId="167" showAll="0"/>
    <pivotField showAll="0"/>
    <pivotField showAll="0"/>
    <pivotField showAll="0"/>
    <pivotField numFmtId="2" showAll="0"/>
    <pivotField showAll="0"/>
  </pivotFields>
  <rowFields count="1">
    <field x="0"/>
  </rowFields>
  <rowItems count="11">
    <i>
      <x v="21"/>
    </i>
    <i>
      <x v="39"/>
    </i>
    <i>
      <x v="40"/>
    </i>
    <i>
      <x v="35"/>
    </i>
    <i>
      <x/>
    </i>
    <i>
      <x v="10"/>
    </i>
    <i>
      <x v="14"/>
    </i>
    <i>
      <x v="25"/>
    </i>
    <i>
      <x v="16"/>
    </i>
    <i>
      <x v="37"/>
    </i>
    <i t="grand">
      <x/>
    </i>
  </rowItems>
  <colItems count="1">
    <i/>
  </colItems>
  <dataFields count="1">
    <dataField name="Market Cap." fld="6" baseField="0" baseItem="0" numFmtId="16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EE3F06-4D8E-4531-9B79-0141D9C381A7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ompany">
  <location ref="A3:B45" firstHeaderRow="1" firstDataRow="1" firstDataCol="1"/>
  <pivotFields count="12">
    <pivotField axis="axisRow" showAll="0" sortType="descending">
      <items count="42">
        <item x="0"/>
        <item x="1"/>
        <item x="4"/>
        <item x="3"/>
        <item x="5"/>
        <item x="2"/>
        <item x="7"/>
        <item x="6"/>
        <item x="11"/>
        <item x="8"/>
        <item x="9"/>
        <item x="10"/>
        <item x="12"/>
        <item x="14"/>
        <item x="13"/>
        <item x="36"/>
        <item x="15"/>
        <item x="16"/>
        <item x="17"/>
        <item x="19"/>
        <item x="18"/>
        <item x="20"/>
        <item x="21"/>
        <item x="28"/>
        <item x="22"/>
        <item x="23"/>
        <item x="27"/>
        <item x="24"/>
        <item x="26"/>
        <item x="25"/>
        <item x="29"/>
        <item x="30"/>
        <item x="31"/>
        <item x="34"/>
        <item x="33"/>
        <item x="32"/>
        <item x="35"/>
        <item x="40"/>
        <item x="37"/>
        <item x="38"/>
        <item x="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  <pivotField numFmtId="10" showAll="0"/>
    <pivotField numFmtId="167" showAll="0"/>
    <pivotField numFmtId="167" showAll="0"/>
    <pivotField showAll="0"/>
    <pivotField showAll="0"/>
    <pivotField showAll="0"/>
    <pivotField dataField="1" numFmtId="2" showAll="0">
      <items count="29">
        <item x="1"/>
        <item x="24"/>
        <item x="6"/>
        <item x="23"/>
        <item x="20"/>
        <item x="10"/>
        <item x="7"/>
        <item x="15"/>
        <item x="12"/>
        <item x="19"/>
        <item x="11"/>
        <item x="17"/>
        <item x="27"/>
        <item x="9"/>
        <item x="3"/>
        <item x="13"/>
        <item x="0"/>
        <item x="14"/>
        <item x="22"/>
        <item x="5"/>
        <item x="4"/>
        <item x="8"/>
        <item x="25"/>
        <item x="18"/>
        <item x="2"/>
        <item x="21"/>
        <item x="16"/>
        <item x="26"/>
        <item t="default"/>
      </items>
    </pivotField>
    <pivotField showAll="0"/>
  </pivotFields>
  <rowFields count="1">
    <field x="0"/>
  </rowFields>
  <rowItems count="42">
    <i>
      <x v="40"/>
    </i>
    <i>
      <x v="24"/>
    </i>
    <i>
      <x v="30"/>
    </i>
    <i>
      <x v="5"/>
    </i>
    <i>
      <x v="27"/>
    </i>
    <i>
      <x v="39"/>
    </i>
    <i>
      <x v="10"/>
    </i>
    <i>
      <x v="2"/>
    </i>
    <i>
      <x v="7"/>
    </i>
    <i>
      <x v="35"/>
    </i>
    <i>
      <x v="21"/>
    </i>
    <i>
      <x v="28"/>
    </i>
    <i>
      <x/>
    </i>
    <i>
      <x v="16"/>
    </i>
    <i>
      <x v="3"/>
    </i>
    <i>
      <x v="11"/>
    </i>
    <i>
      <x v="37"/>
    </i>
    <i>
      <x v="25"/>
    </i>
    <i>
      <x v="12"/>
    </i>
    <i>
      <x v="29"/>
    </i>
    <i>
      <x v="14"/>
    </i>
    <i>
      <x v="22"/>
    </i>
    <i>
      <x v="9"/>
    </i>
    <i>
      <x v="8"/>
    </i>
    <i>
      <x v="23"/>
    </i>
    <i>
      <x v="33"/>
    </i>
    <i>
      <x v="6"/>
    </i>
    <i>
      <x v="15"/>
    </i>
    <i>
      <x v="13"/>
    </i>
    <i>
      <x v="31"/>
    </i>
    <i>
      <x v="32"/>
    </i>
    <i>
      <x v="26"/>
    </i>
    <i>
      <x v="34"/>
    </i>
    <i>
      <x v="4"/>
    </i>
    <i>
      <x v="36"/>
    </i>
    <i>
      <x v="17"/>
    </i>
    <i>
      <x v="38"/>
    </i>
    <i>
      <x v="18"/>
    </i>
    <i>
      <x v="1"/>
    </i>
    <i>
      <x v="19"/>
    </i>
    <i>
      <x v="20"/>
    </i>
    <i t="grand">
      <x/>
    </i>
  </rowItems>
  <colItems count="1">
    <i/>
  </colItems>
  <dataFields count="1">
    <dataField name="Average of Dividend Yield %" fld="10" subtotal="average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73D7C-3464-4980-8A57-EAEDCA9A9EC5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ector">
  <location ref="A3:B15" firstHeaderRow="1" firstDataRow="1" firstDataCol="1"/>
  <pivotFields count="12">
    <pivotField showAll="0"/>
    <pivotField showAll="0"/>
    <pivotField axis="axisRow" showAll="0" sortType="descending">
      <items count="12">
        <item x="10"/>
        <item x="5"/>
        <item x="2"/>
        <item x="8"/>
        <item x="3"/>
        <item x="0"/>
        <item x="9"/>
        <item x="1"/>
        <item x="4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10" showAll="0"/>
    <pivotField numFmtId="167" showAll="0"/>
    <pivotField numFmtId="167" showAll="0"/>
    <pivotField dataField="1" showAll="0">
      <items count="26">
        <item x="18"/>
        <item x="10"/>
        <item x="12"/>
        <item x="16"/>
        <item x="17"/>
        <item x="13"/>
        <item x="2"/>
        <item x="9"/>
        <item x="19"/>
        <item x="7"/>
        <item x="14"/>
        <item x="3"/>
        <item x="5"/>
        <item x="4"/>
        <item x="15"/>
        <item x="22"/>
        <item x="11"/>
        <item x="6"/>
        <item x="23"/>
        <item x="1"/>
        <item x="24"/>
        <item x="8"/>
        <item x="20"/>
        <item x="21"/>
        <item x="0"/>
        <item t="default"/>
      </items>
    </pivotField>
    <pivotField showAll="0"/>
    <pivotField showAll="0"/>
    <pivotField numFmtId="2" showAll="0"/>
    <pivotField showAll="0"/>
  </pivotFields>
  <rowFields count="1">
    <field x="2"/>
  </rowFields>
  <rowItems count="12">
    <i>
      <x v="8"/>
    </i>
    <i>
      <x v="4"/>
    </i>
    <i>
      <x v="7"/>
    </i>
    <i>
      <x/>
    </i>
    <i>
      <x v="2"/>
    </i>
    <i>
      <x v="1"/>
    </i>
    <i>
      <x v="5"/>
    </i>
    <i>
      <x v="10"/>
    </i>
    <i>
      <x v="9"/>
    </i>
    <i>
      <x v="3"/>
    </i>
    <i>
      <x v="6"/>
    </i>
    <i t="grand">
      <x/>
    </i>
  </rowItems>
  <colItems count="1">
    <i/>
  </colItems>
  <dataFields count="1">
    <dataField name="Average of P/E" fld="7" subtotal="average" baseField="2" baseItem="0" numFmtId="2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B0FBA-6C0C-445F-9DC4-41FE79F8B084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ompany">
  <location ref="A3:B45" firstHeaderRow="1" firstDataRow="1" firstDataCol="1"/>
  <pivotFields count="12">
    <pivotField axis="axisRow" showAll="0" sortType="descending">
      <items count="42">
        <item x="0"/>
        <item x="1"/>
        <item x="4"/>
        <item x="3"/>
        <item x="5"/>
        <item x="2"/>
        <item x="7"/>
        <item x="6"/>
        <item x="11"/>
        <item x="8"/>
        <item x="9"/>
        <item x="10"/>
        <item x="12"/>
        <item x="14"/>
        <item x="13"/>
        <item x="36"/>
        <item x="15"/>
        <item x="16"/>
        <item x="17"/>
        <item x="19"/>
        <item x="18"/>
        <item x="20"/>
        <item x="21"/>
        <item x="28"/>
        <item x="22"/>
        <item x="23"/>
        <item x="27"/>
        <item x="24"/>
        <item x="26"/>
        <item x="25"/>
        <item x="29"/>
        <item x="30"/>
        <item x="31"/>
        <item x="34"/>
        <item x="33"/>
        <item x="32"/>
        <item x="35"/>
        <item x="40"/>
        <item x="37"/>
        <item x="38"/>
        <item x="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  <pivotField numFmtId="10" showAll="0"/>
    <pivotField dataField="1" numFmtId="167" showAll="0"/>
    <pivotField numFmtId="167" showAll="0"/>
    <pivotField showAll="0"/>
    <pivotField showAll="0"/>
    <pivotField showAll="0"/>
    <pivotField numFmtId="2" showAll="0"/>
    <pivotField showAll="0"/>
  </pivotFields>
  <rowFields count="1">
    <field x="0"/>
  </rowFields>
  <rowItems count="42">
    <i>
      <x v="37"/>
    </i>
    <i>
      <x v="17"/>
    </i>
    <i>
      <x v="16"/>
    </i>
    <i>
      <x v="29"/>
    </i>
    <i>
      <x v="25"/>
    </i>
    <i>
      <x v="20"/>
    </i>
    <i>
      <x v="27"/>
    </i>
    <i>
      <x v="28"/>
    </i>
    <i>
      <x v="21"/>
    </i>
    <i>
      <x/>
    </i>
    <i>
      <x v="10"/>
    </i>
    <i>
      <x v="39"/>
    </i>
    <i>
      <x v="9"/>
    </i>
    <i>
      <x v="7"/>
    </i>
    <i>
      <x v="33"/>
    </i>
    <i>
      <x v="8"/>
    </i>
    <i>
      <x v="18"/>
    </i>
    <i>
      <x v="19"/>
    </i>
    <i>
      <x v="4"/>
    </i>
    <i>
      <x v="35"/>
    </i>
    <i>
      <x v="12"/>
    </i>
    <i>
      <x v="2"/>
    </i>
    <i>
      <x v="26"/>
    </i>
    <i>
      <x v="38"/>
    </i>
    <i>
      <x v="40"/>
    </i>
    <i>
      <x v="13"/>
    </i>
    <i>
      <x v="5"/>
    </i>
    <i>
      <x v="30"/>
    </i>
    <i>
      <x v="32"/>
    </i>
    <i>
      <x v="14"/>
    </i>
    <i>
      <x v="3"/>
    </i>
    <i>
      <x v="11"/>
    </i>
    <i>
      <x v="34"/>
    </i>
    <i>
      <x v="6"/>
    </i>
    <i>
      <x v="15"/>
    </i>
    <i>
      <x v="1"/>
    </i>
    <i>
      <x v="22"/>
    </i>
    <i>
      <x v="36"/>
    </i>
    <i>
      <x v="24"/>
    </i>
    <i>
      <x v="23"/>
    </i>
    <i>
      <x v="31"/>
    </i>
    <i t="grand">
      <x/>
    </i>
  </rowItems>
  <colItems count="1">
    <i/>
  </colItems>
  <dataFields count="1">
    <dataField name=" Volume" fld="5" baseField="0" baseItem="0" numFmtId="16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B5E6E3-99D9-4A72-B514-6135B9D9F2DC}" name="NSE_Stocks" displayName="NSE_Stocks" ref="A1:L42" totalsRowShown="0">
  <autoFilter ref="A1:L42" xr:uid="{C8B5E6E3-99D9-4A72-B514-6135B9D9F2DC}"/>
  <tableColumns count="12">
    <tableColumn id="1" xr3:uid="{374853DC-938F-4FF7-9E94-C22FE0D21B36}" name="Company"/>
    <tableColumn id="2" xr3:uid="{7FF59301-3991-47DE-A3BC-1B52ECB221F0}" name="Symbol"/>
    <tableColumn id="3" xr3:uid="{9544F146-2515-4C37-BDFD-D0A957D240EB}" name="Sector"/>
    <tableColumn id="4" xr3:uid="{28825B30-CB25-4095-8BE6-E50CEA4D73ED}" name="Price (KES)" dataDxfId="9"/>
    <tableColumn id="5" xr3:uid="{45B78483-A850-4117-AAEB-309E89A0D64D}" name="Change %" dataDxfId="10"/>
    <tableColumn id="13" xr3:uid="{560A08BD-270E-4C13-9D64-F0CAFB19A054}" name="Volume" dataDxfId="8" dataCellStyle="Comma"/>
    <tableColumn id="15" xr3:uid="{6A7714AA-6D3D-4BCD-B5B4-FCB9A7602528}" name="Market Cap" dataDxfId="11" dataCellStyle="Comma"/>
    <tableColumn id="8" xr3:uid="{F4DD3476-653D-4CF8-AD95-2B49B543BC4C}" name="P/E"/>
    <tableColumn id="9" xr3:uid="{BD730E1D-861B-4C04-98E5-DE0160E9ECFD}" name="EPS"/>
    <tableColumn id="10" xr3:uid="{EDB856A3-90CD-46CC-8A18-ECC98F09364A}" name="EPS Growth %" dataDxfId="13"/>
    <tableColumn id="11" xr3:uid="{FC46A331-FF4B-482F-A64F-484A359F8CB4}" name="Dividend Yield %" dataDxfId="12"/>
    <tableColumn id="12" xr3:uid="{B585F1B0-2CBC-4A15-8EBD-8C0A054A041D}" name="Analyst Ra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A4D6A-2A49-48F6-BA9B-4D2D72B76631}">
  <dimension ref="A3:B15"/>
  <sheetViews>
    <sheetView zoomScale="80" zoomScaleNormal="80" workbookViewId="0">
      <selection activeCell="J17" sqref="J17"/>
    </sheetView>
  </sheetViews>
  <sheetFormatPr defaultRowHeight="14.5" x14ac:dyDescent="0.35"/>
  <cols>
    <col min="1" max="1" width="21.26953125" bestFit="1" customWidth="1"/>
    <col min="2" max="2" width="20" bestFit="1" customWidth="1"/>
  </cols>
  <sheetData>
    <row r="3" spans="1:2" x14ac:dyDescent="0.35">
      <c r="A3" s="5" t="s">
        <v>2</v>
      </c>
      <c r="B3" t="s">
        <v>110</v>
      </c>
    </row>
    <row r="4" spans="1:2" x14ac:dyDescent="0.35">
      <c r="A4" s="6" t="s">
        <v>14</v>
      </c>
      <c r="B4" s="7">
        <v>1543710000000</v>
      </c>
    </row>
    <row r="5" spans="1:2" x14ac:dyDescent="0.35">
      <c r="A5" s="6" t="s">
        <v>108</v>
      </c>
      <c r="B5" s="7">
        <v>1210000000000</v>
      </c>
    </row>
    <row r="6" spans="1:2" x14ac:dyDescent="0.35">
      <c r="A6" s="6" t="s">
        <v>33</v>
      </c>
      <c r="B6" s="7">
        <v>206840000000</v>
      </c>
    </row>
    <row r="7" spans="1:2" x14ac:dyDescent="0.35">
      <c r="A7" s="6" t="s">
        <v>72</v>
      </c>
      <c r="B7" s="7">
        <v>94470000000</v>
      </c>
    </row>
    <row r="8" spans="1:2" x14ac:dyDescent="0.35">
      <c r="A8" s="6" t="s">
        <v>22</v>
      </c>
      <c r="B8" s="7">
        <v>56445000000</v>
      </c>
    </row>
    <row r="9" spans="1:2" x14ac:dyDescent="0.35">
      <c r="A9" s="6" t="s">
        <v>18</v>
      </c>
      <c r="B9" s="7">
        <v>39210000000</v>
      </c>
    </row>
    <row r="10" spans="1:2" x14ac:dyDescent="0.35">
      <c r="A10" s="6" t="s">
        <v>79</v>
      </c>
      <c r="B10" s="7">
        <v>27200000000</v>
      </c>
    </row>
    <row r="11" spans="1:2" x14ac:dyDescent="0.35">
      <c r="A11" s="6" t="s">
        <v>99</v>
      </c>
      <c r="B11" s="7">
        <v>7400000000</v>
      </c>
    </row>
    <row r="12" spans="1:2" x14ac:dyDescent="0.35">
      <c r="A12" s="6" t="s">
        <v>88</v>
      </c>
      <c r="B12" s="7">
        <v>3464000000</v>
      </c>
    </row>
    <row r="13" spans="1:2" x14ac:dyDescent="0.35">
      <c r="A13" s="6" t="s">
        <v>53</v>
      </c>
      <c r="B13" s="7">
        <v>965000000</v>
      </c>
    </row>
    <row r="14" spans="1:2" x14ac:dyDescent="0.35">
      <c r="A14" s="6" t="s">
        <v>58</v>
      </c>
      <c r="B14" s="7">
        <v>591000000</v>
      </c>
    </row>
    <row r="15" spans="1:2" x14ac:dyDescent="0.35">
      <c r="A15" s="6" t="s">
        <v>109</v>
      </c>
      <c r="B15" s="7">
        <v>3190295000000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AD47-9441-497B-83A6-24843E53B811}">
  <dimension ref="A3:B14"/>
  <sheetViews>
    <sheetView zoomScale="80" zoomScaleNormal="80" workbookViewId="0">
      <selection activeCell="B20" sqref="B20"/>
    </sheetView>
  </sheetViews>
  <sheetFormatPr defaultRowHeight="14.5" x14ac:dyDescent="0.35"/>
  <cols>
    <col min="1" max="1" width="30.81640625" bestFit="1" customWidth="1"/>
    <col min="2" max="2" width="18.1796875" bestFit="1" customWidth="1"/>
  </cols>
  <sheetData>
    <row r="3" spans="1:2" x14ac:dyDescent="0.35">
      <c r="A3" s="5" t="s">
        <v>0</v>
      </c>
      <c r="B3" t="s">
        <v>114</v>
      </c>
    </row>
    <row r="4" spans="1:2" x14ac:dyDescent="0.35">
      <c r="A4" s="6" t="s">
        <v>61</v>
      </c>
      <c r="B4" s="7">
        <v>81940000000</v>
      </c>
    </row>
    <row r="5" spans="1:2" x14ac:dyDescent="0.35">
      <c r="A5" s="6" t="s">
        <v>102</v>
      </c>
      <c r="B5" s="7">
        <v>100810000000</v>
      </c>
    </row>
    <row r="6" spans="1:2" x14ac:dyDescent="0.35">
      <c r="A6" s="6" t="s">
        <v>104</v>
      </c>
      <c r="B6" s="7">
        <v>128570000000</v>
      </c>
    </row>
    <row r="7" spans="1:2" x14ac:dyDescent="0.35">
      <c r="A7" s="6" t="s">
        <v>89</v>
      </c>
      <c r="B7" s="7">
        <v>144980000000</v>
      </c>
    </row>
    <row r="8" spans="1:2" x14ac:dyDescent="0.35">
      <c r="A8" s="6" t="s">
        <v>12</v>
      </c>
      <c r="B8" s="7">
        <v>163760000000</v>
      </c>
    </row>
    <row r="9" spans="1:2" x14ac:dyDescent="0.35">
      <c r="A9" s="6" t="s">
        <v>36</v>
      </c>
      <c r="B9" s="7">
        <v>176020000000</v>
      </c>
    </row>
    <row r="10" spans="1:2" x14ac:dyDescent="0.35">
      <c r="A10" s="6" t="s">
        <v>44</v>
      </c>
      <c r="B10" s="7">
        <v>201710000000</v>
      </c>
    </row>
    <row r="11" spans="1:2" x14ac:dyDescent="0.35">
      <c r="A11" s="6" t="s">
        <v>67</v>
      </c>
      <c r="B11" s="7">
        <v>249040000000</v>
      </c>
    </row>
    <row r="12" spans="1:2" x14ac:dyDescent="0.35">
      <c r="A12" s="6" t="s">
        <v>48</v>
      </c>
      <c r="B12" s="7">
        <v>281140000000</v>
      </c>
    </row>
    <row r="13" spans="1:2" x14ac:dyDescent="0.35">
      <c r="A13" s="6" t="s">
        <v>106</v>
      </c>
      <c r="B13" s="7">
        <v>1210000000000</v>
      </c>
    </row>
    <row r="14" spans="1:2" x14ac:dyDescent="0.35">
      <c r="A14" s="6" t="s">
        <v>109</v>
      </c>
      <c r="B14" s="7">
        <v>2737970000000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F711-6BEA-4A5C-9D3E-5C7D9E3E1117}">
  <dimension ref="A3:B45"/>
  <sheetViews>
    <sheetView topLeftCell="A2" zoomScaleNormal="100" workbookViewId="0">
      <selection activeCell="D19" sqref="D19"/>
    </sheetView>
  </sheetViews>
  <sheetFormatPr defaultRowHeight="14.5" x14ac:dyDescent="0.35"/>
  <cols>
    <col min="1" max="1" width="36.08984375" bestFit="1" customWidth="1"/>
    <col min="2" max="2" width="24.1796875" bestFit="1" customWidth="1"/>
  </cols>
  <sheetData>
    <row r="3" spans="1:2" x14ac:dyDescent="0.35">
      <c r="A3" s="5" t="s">
        <v>0</v>
      </c>
      <c r="B3" t="s">
        <v>111</v>
      </c>
    </row>
    <row r="4" spans="1:2" x14ac:dyDescent="0.35">
      <c r="A4" s="6" t="s">
        <v>104</v>
      </c>
      <c r="B4" s="2">
        <v>12.67</v>
      </c>
    </row>
    <row r="5" spans="1:2" x14ac:dyDescent="0.35">
      <c r="A5" s="6" t="s">
        <v>65</v>
      </c>
      <c r="B5" s="2">
        <v>10.130000000000001</v>
      </c>
    </row>
    <row r="6" spans="1:2" x14ac:dyDescent="0.35">
      <c r="A6" s="6" t="s">
        <v>82</v>
      </c>
      <c r="B6" s="2">
        <v>9.85</v>
      </c>
    </row>
    <row r="7" spans="1:2" x14ac:dyDescent="0.35">
      <c r="A7" s="6" t="s">
        <v>20</v>
      </c>
      <c r="B7" s="2">
        <v>9.77</v>
      </c>
    </row>
    <row r="8" spans="1:2" x14ac:dyDescent="0.35">
      <c r="A8" s="6" t="s">
        <v>70</v>
      </c>
      <c r="B8" s="2">
        <v>9.68</v>
      </c>
    </row>
    <row r="9" spans="1:2" x14ac:dyDescent="0.35">
      <c r="A9" s="6" t="s">
        <v>102</v>
      </c>
      <c r="B9" s="2">
        <v>8.9</v>
      </c>
    </row>
    <row r="10" spans="1:2" x14ac:dyDescent="0.35">
      <c r="A10" s="6" t="s">
        <v>36</v>
      </c>
      <c r="B10" s="2">
        <v>8.3800000000000008</v>
      </c>
    </row>
    <row r="11" spans="1:2" x14ac:dyDescent="0.35">
      <c r="A11" s="6" t="s">
        <v>25</v>
      </c>
      <c r="B11" s="2">
        <v>6.88</v>
      </c>
    </row>
    <row r="12" spans="1:2" x14ac:dyDescent="0.35">
      <c r="A12" s="6" t="s">
        <v>29</v>
      </c>
      <c r="B12" s="2">
        <v>6.6</v>
      </c>
    </row>
    <row r="13" spans="1:2" x14ac:dyDescent="0.35">
      <c r="A13" s="6" t="s">
        <v>89</v>
      </c>
      <c r="B13" s="2">
        <v>6.55</v>
      </c>
    </row>
    <row r="14" spans="1:2" x14ac:dyDescent="0.35">
      <c r="A14" s="6" t="s">
        <v>61</v>
      </c>
      <c r="B14" s="2">
        <v>6.45</v>
      </c>
    </row>
    <row r="15" spans="1:2" x14ac:dyDescent="0.35">
      <c r="A15" s="6" t="s">
        <v>75</v>
      </c>
      <c r="B15" s="2">
        <v>5.92</v>
      </c>
    </row>
    <row r="16" spans="1:2" x14ac:dyDescent="0.35">
      <c r="A16" s="6" t="s">
        <v>12</v>
      </c>
      <c r="B16" s="2">
        <v>5.92</v>
      </c>
    </row>
    <row r="17" spans="1:2" x14ac:dyDescent="0.35">
      <c r="A17" s="6" t="s">
        <v>48</v>
      </c>
      <c r="B17" s="2">
        <v>5.7</v>
      </c>
    </row>
    <row r="18" spans="1:2" x14ac:dyDescent="0.35">
      <c r="A18" s="6" t="s">
        <v>23</v>
      </c>
      <c r="B18" s="2">
        <v>5.69</v>
      </c>
    </row>
    <row r="19" spans="1:2" x14ac:dyDescent="0.35">
      <c r="A19" s="6" t="s">
        <v>38</v>
      </c>
      <c r="B19" s="2">
        <v>5.24</v>
      </c>
    </row>
    <row r="20" spans="1:2" x14ac:dyDescent="0.35">
      <c r="A20" s="6" t="s">
        <v>106</v>
      </c>
      <c r="B20" s="2">
        <v>4.88</v>
      </c>
    </row>
    <row r="21" spans="1:2" x14ac:dyDescent="0.35">
      <c r="A21" s="6" t="s">
        <v>67</v>
      </c>
      <c r="B21" s="2">
        <v>4.71</v>
      </c>
    </row>
    <row r="22" spans="1:2" x14ac:dyDescent="0.35">
      <c r="A22" s="6" t="s">
        <v>42</v>
      </c>
      <c r="B22" s="2">
        <v>4.51</v>
      </c>
    </row>
    <row r="23" spans="1:2" x14ac:dyDescent="0.35">
      <c r="A23" s="6" t="s">
        <v>73</v>
      </c>
      <c r="B23" s="2">
        <v>4.37</v>
      </c>
    </row>
    <row r="24" spans="1:2" x14ac:dyDescent="0.35">
      <c r="A24" s="6" t="s">
        <v>44</v>
      </c>
      <c r="B24" s="2">
        <v>3.8</v>
      </c>
    </row>
    <row r="25" spans="1:2" x14ac:dyDescent="0.35">
      <c r="A25" s="6" t="s">
        <v>63</v>
      </c>
      <c r="B25" s="2">
        <v>3.52</v>
      </c>
    </row>
    <row r="26" spans="1:2" x14ac:dyDescent="0.35">
      <c r="A26" s="6" t="s">
        <v>34</v>
      </c>
      <c r="B26" s="2">
        <v>2.44</v>
      </c>
    </row>
    <row r="27" spans="1:2" x14ac:dyDescent="0.35">
      <c r="A27" s="6" t="s">
        <v>40</v>
      </c>
      <c r="B27" s="2">
        <v>2.23</v>
      </c>
    </row>
    <row r="28" spans="1:2" x14ac:dyDescent="0.35">
      <c r="A28" s="6" t="s">
        <v>80</v>
      </c>
      <c r="B28" s="2">
        <v>1.9</v>
      </c>
    </row>
    <row r="29" spans="1:2" x14ac:dyDescent="0.35">
      <c r="A29" s="6" t="s">
        <v>93</v>
      </c>
      <c r="B29" s="2">
        <v>1.5</v>
      </c>
    </row>
    <row r="30" spans="1:2" x14ac:dyDescent="0.35">
      <c r="A30" s="6" t="s">
        <v>31</v>
      </c>
      <c r="B30" s="2">
        <v>1.24</v>
      </c>
    </row>
    <row r="31" spans="1:2" x14ac:dyDescent="0.35">
      <c r="A31" s="6" t="s">
        <v>97</v>
      </c>
      <c r="B31" s="2">
        <v>1.19</v>
      </c>
    </row>
    <row r="32" spans="1:2" x14ac:dyDescent="0.35">
      <c r="A32" s="6" t="s">
        <v>46</v>
      </c>
      <c r="B32" s="2">
        <v>0</v>
      </c>
    </row>
    <row r="33" spans="1:2" x14ac:dyDescent="0.35">
      <c r="A33" s="6" t="s">
        <v>84</v>
      </c>
      <c r="B33" s="2">
        <v>0</v>
      </c>
    </row>
    <row r="34" spans="1:2" x14ac:dyDescent="0.35">
      <c r="A34" s="6" t="s">
        <v>86</v>
      </c>
      <c r="B34" s="2">
        <v>0</v>
      </c>
    </row>
    <row r="35" spans="1:2" x14ac:dyDescent="0.35">
      <c r="A35" s="6" t="s">
        <v>77</v>
      </c>
      <c r="B35" s="2">
        <v>0</v>
      </c>
    </row>
    <row r="36" spans="1:2" x14ac:dyDescent="0.35">
      <c r="A36" s="6" t="s">
        <v>91</v>
      </c>
      <c r="B36" s="2">
        <v>0</v>
      </c>
    </row>
    <row r="37" spans="1:2" x14ac:dyDescent="0.35">
      <c r="A37" s="6" t="s">
        <v>27</v>
      </c>
      <c r="B37" s="2">
        <v>0</v>
      </c>
    </row>
    <row r="38" spans="1:2" x14ac:dyDescent="0.35">
      <c r="A38" s="6" t="s">
        <v>95</v>
      </c>
      <c r="B38" s="2">
        <v>0</v>
      </c>
    </row>
    <row r="39" spans="1:2" x14ac:dyDescent="0.35">
      <c r="A39" s="6" t="s">
        <v>51</v>
      </c>
      <c r="B39" s="2">
        <v>0</v>
      </c>
    </row>
    <row r="40" spans="1:2" x14ac:dyDescent="0.35">
      <c r="A40" s="6" t="s">
        <v>100</v>
      </c>
      <c r="B40" s="2">
        <v>0</v>
      </c>
    </row>
    <row r="41" spans="1:2" x14ac:dyDescent="0.35">
      <c r="A41" s="6" t="s">
        <v>54</v>
      </c>
      <c r="B41" s="2">
        <v>0</v>
      </c>
    </row>
    <row r="42" spans="1:2" x14ac:dyDescent="0.35">
      <c r="A42" s="6" t="s">
        <v>16</v>
      </c>
      <c r="B42" s="2">
        <v>0</v>
      </c>
    </row>
    <row r="43" spans="1:2" x14ac:dyDescent="0.35">
      <c r="A43" s="6" t="s">
        <v>59</v>
      </c>
      <c r="B43" s="2">
        <v>0</v>
      </c>
    </row>
    <row r="44" spans="1:2" x14ac:dyDescent="0.35">
      <c r="A44" s="6" t="s">
        <v>56</v>
      </c>
      <c r="B44" s="2">
        <v>0</v>
      </c>
    </row>
    <row r="45" spans="1:2" x14ac:dyDescent="0.35">
      <c r="A45" s="6" t="s">
        <v>109</v>
      </c>
      <c r="B45" s="2">
        <v>3.9175609756097556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37B8C-C2DA-4126-ABB8-D0F4B631C791}">
  <dimension ref="A3:B15"/>
  <sheetViews>
    <sheetView workbookViewId="0">
      <selection activeCell="G17" sqref="G17"/>
    </sheetView>
  </sheetViews>
  <sheetFormatPr defaultRowHeight="14.5" x14ac:dyDescent="0.35"/>
  <cols>
    <col min="1" max="1" width="23.453125" customWidth="1"/>
    <col min="2" max="2" width="13.1796875" style="3" bestFit="1" customWidth="1"/>
  </cols>
  <sheetData>
    <row r="3" spans="1:2" x14ac:dyDescent="0.35">
      <c r="A3" s="5" t="s">
        <v>2</v>
      </c>
      <c r="B3" s="2" t="s">
        <v>112</v>
      </c>
    </row>
    <row r="4" spans="1:2" x14ac:dyDescent="0.35">
      <c r="A4" s="6" t="s">
        <v>53</v>
      </c>
      <c r="B4" s="2">
        <v>16.100000000000001</v>
      </c>
    </row>
    <row r="5" spans="1:2" x14ac:dyDescent="0.35">
      <c r="A5" s="6" t="s">
        <v>33</v>
      </c>
      <c r="B5" s="2">
        <v>15.96</v>
      </c>
    </row>
    <row r="6" spans="1:2" x14ac:dyDescent="0.35">
      <c r="A6" s="6" t="s">
        <v>18</v>
      </c>
      <c r="B6" s="2">
        <v>14.807500000000001</v>
      </c>
    </row>
    <row r="7" spans="1:2" x14ac:dyDescent="0.35">
      <c r="A7" s="6" t="s">
        <v>108</v>
      </c>
      <c r="B7" s="2">
        <v>14.51</v>
      </c>
    </row>
    <row r="8" spans="1:2" x14ac:dyDescent="0.35">
      <c r="A8" s="6" t="s">
        <v>22</v>
      </c>
      <c r="B8" s="2">
        <v>10.48</v>
      </c>
    </row>
    <row r="9" spans="1:2" x14ac:dyDescent="0.35">
      <c r="A9" s="6" t="s">
        <v>58</v>
      </c>
      <c r="B9" s="2">
        <v>9.26</v>
      </c>
    </row>
    <row r="10" spans="1:2" x14ac:dyDescent="0.35">
      <c r="A10" s="6" t="s">
        <v>14</v>
      </c>
      <c r="B10" s="2">
        <v>5.5492857142857135</v>
      </c>
    </row>
    <row r="11" spans="1:2" x14ac:dyDescent="0.35">
      <c r="A11" s="6" t="s">
        <v>72</v>
      </c>
      <c r="B11" s="2">
        <v>1.4</v>
      </c>
    </row>
    <row r="12" spans="1:2" x14ac:dyDescent="0.35">
      <c r="A12" s="6" t="s">
        <v>79</v>
      </c>
      <c r="B12" s="2"/>
    </row>
    <row r="13" spans="1:2" x14ac:dyDescent="0.35">
      <c r="A13" s="6" t="s">
        <v>88</v>
      </c>
      <c r="B13" s="2"/>
    </row>
    <row r="14" spans="1:2" x14ac:dyDescent="0.35">
      <c r="A14" s="6" t="s">
        <v>99</v>
      </c>
      <c r="B14" s="2"/>
    </row>
    <row r="15" spans="1:2" x14ac:dyDescent="0.35">
      <c r="A15" s="6" t="s">
        <v>109</v>
      </c>
      <c r="B15" s="2">
        <v>8.8292000000000002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EBAA-96F1-47E6-A979-D0FF29449115}">
  <dimension ref="A3:B45"/>
  <sheetViews>
    <sheetView workbookViewId="0">
      <selection activeCell="K9" sqref="K9"/>
    </sheetView>
  </sheetViews>
  <sheetFormatPr defaultRowHeight="14.5" x14ac:dyDescent="0.35"/>
  <cols>
    <col min="1" max="1" width="36.08984375" bestFit="1" customWidth="1"/>
    <col min="2" max="2" width="14.453125" customWidth="1"/>
  </cols>
  <sheetData>
    <row r="3" spans="1:2" x14ac:dyDescent="0.35">
      <c r="A3" s="5" t="s">
        <v>0</v>
      </c>
      <c r="B3" t="s">
        <v>113</v>
      </c>
    </row>
    <row r="4" spans="1:2" x14ac:dyDescent="0.35">
      <c r="A4" s="6" t="s">
        <v>106</v>
      </c>
      <c r="B4" s="7">
        <v>19350000</v>
      </c>
    </row>
    <row r="5" spans="1:2" x14ac:dyDescent="0.35">
      <c r="A5" s="6" t="s">
        <v>51</v>
      </c>
      <c r="B5" s="7">
        <v>6430000</v>
      </c>
    </row>
    <row r="6" spans="1:2" x14ac:dyDescent="0.35">
      <c r="A6" s="6" t="s">
        <v>48</v>
      </c>
      <c r="B6" s="7">
        <v>4110000.0000000005</v>
      </c>
    </row>
    <row r="7" spans="1:2" x14ac:dyDescent="0.35">
      <c r="A7" s="6" t="s">
        <v>73</v>
      </c>
      <c r="B7" s="7">
        <v>3490000</v>
      </c>
    </row>
    <row r="8" spans="1:2" x14ac:dyDescent="0.35">
      <c r="A8" s="6" t="s">
        <v>67</v>
      </c>
      <c r="B8" s="7">
        <v>2780000</v>
      </c>
    </row>
    <row r="9" spans="1:2" x14ac:dyDescent="0.35">
      <c r="A9" s="6" t="s">
        <v>56</v>
      </c>
      <c r="B9" s="7">
        <v>1700000</v>
      </c>
    </row>
    <row r="10" spans="1:2" x14ac:dyDescent="0.35">
      <c r="A10" s="6" t="s">
        <v>70</v>
      </c>
      <c r="B10" s="7">
        <v>1140000</v>
      </c>
    </row>
    <row r="11" spans="1:2" x14ac:dyDescent="0.35">
      <c r="A11" s="6" t="s">
        <v>75</v>
      </c>
      <c r="B11" s="7">
        <v>1050000</v>
      </c>
    </row>
    <row r="12" spans="1:2" x14ac:dyDescent="0.35">
      <c r="A12" s="6" t="s">
        <v>61</v>
      </c>
      <c r="B12" s="7">
        <v>644330</v>
      </c>
    </row>
    <row r="13" spans="1:2" x14ac:dyDescent="0.35">
      <c r="A13" s="6" t="s">
        <v>12</v>
      </c>
      <c r="B13" s="7">
        <v>594430</v>
      </c>
    </row>
    <row r="14" spans="1:2" x14ac:dyDescent="0.35">
      <c r="A14" s="6" t="s">
        <v>36</v>
      </c>
      <c r="B14" s="7">
        <v>392740</v>
      </c>
    </row>
    <row r="15" spans="1:2" x14ac:dyDescent="0.35">
      <c r="A15" s="6" t="s">
        <v>102</v>
      </c>
      <c r="B15" s="7">
        <v>357460</v>
      </c>
    </row>
    <row r="16" spans="1:2" x14ac:dyDescent="0.35">
      <c r="A16" s="6" t="s">
        <v>34</v>
      </c>
      <c r="B16" s="7">
        <v>346140</v>
      </c>
    </row>
    <row r="17" spans="1:2" x14ac:dyDescent="0.35">
      <c r="A17" s="6" t="s">
        <v>29</v>
      </c>
      <c r="B17" s="7">
        <v>232450</v>
      </c>
    </row>
    <row r="18" spans="1:2" x14ac:dyDescent="0.35">
      <c r="A18" s="6" t="s">
        <v>93</v>
      </c>
      <c r="B18" s="7">
        <v>228740</v>
      </c>
    </row>
    <row r="19" spans="1:2" x14ac:dyDescent="0.35">
      <c r="A19" s="6" t="s">
        <v>40</v>
      </c>
      <c r="B19" s="7">
        <v>210600</v>
      </c>
    </row>
    <row r="20" spans="1:2" x14ac:dyDescent="0.35">
      <c r="A20" s="6" t="s">
        <v>54</v>
      </c>
      <c r="B20" s="7">
        <v>170540</v>
      </c>
    </row>
    <row r="21" spans="1:2" x14ac:dyDescent="0.35">
      <c r="A21" s="6" t="s">
        <v>59</v>
      </c>
      <c r="B21" s="7">
        <v>169160</v>
      </c>
    </row>
    <row r="22" spans="1:2" x14ac:dyDescent="0.35">
      <c r="A22" s="6" t="s">
        <v>27</v>
      </c>
      <c r="B22" s="7">
        <v>146190</v>
      </c>
    </row>
    <row r="23" spans="1:2" x14ac:dyDescent="0.35">
      <c r="A23" s="6" t="s">
        <v>89</v>
      </c>
      <c r="B23" s="7">
        <v>71050</v>
      </c>
    </row>
    <row r="24" spans="1:2" x14ac:dyDescent="0.35">
      <c r="A24" s="6" t="s">
        <v>42</v>
      </c>
      <c r="B24" s="7">
        <v>55910</v>
      </c>
    </row>
    <row r="25" spans="1:2" x14ac:dyDescent="0.35">
      <c r="A25" s="6" t="s">
        <v>25</v>
      </c>
      <c r="B25" s="7">
        <v>45090</v>
      </c>
    </row>
    <row r="26" spans="1:2" x14ac:dyDescent="0.35">
      <c r="A26" s="6" t="s">
        <v>77</v>
      </c>
      <c r="B26" s="7">
        <v>35640</v>
      </c>
    </row>
    <row r="27" spans="1:2" x14ac:dyDescent="0.35">
      <c r="A27" s="6" t="s">
        <v>100</v>
      </c>
      <c r="B27" s="7">
        <v>34410</v>
      </c>
    </row>
    <row r="28" spans="1:2" x14ac:dyDescent="0.35">
      <c r="A28" s="6" t="s">
        <v>104</v>
      </c>
      <c r="B28" s="7">
        <v>13660</v>
      </c>
    </row>
    <row r="29" spans="1:2" x14ac:dyDescent="0.35">
      <c r="A29" s="6" t="s">
        <v>46</v>
      </c>
      <c r="B29" s="7">
        <v>13340</v>
      </c>
    </row>
    <row r="30" spans="1:2" x14ac:dyDescent="0.35">
      <c r="A30" s="6" t="s">
        <v>20</v>
      </c>
      <c r="B30" s="7">
        <v>12200</v>
      </c>
    </row>
    <row r="31" spans="1:2" x14ac:dyDescent="0.35">
      <c r="A31" s="6" t="s">
        <v>82</v>
      </c>
      <c r="B31" s="7">
        <v>11610</v>
      </c>
    </row>
    <row r="32" spans="1:2" x14ac:dyDescent="0.35">
      <c r="A32" s="6" t="s">
        <v>86</v>
      </c>
      <c r="B32" s="7">
        <v>8550</v>
      </c>
    </row>
    <row r="33" spans="1:2" x14ac:dyDescent="0.35">
      <c r="A33" s="6" t="s">
        <v>44</v>
      </c>
      <c r="B33" s="7">
        <v>6860</v>
      </c>
    </row>
    <row r="34" spans="1:2" x14ac:dyDescent="0.35">
      <c r="A34" s="6" t="s">
        <v>23</v>
      </c>
      <c r="B34" s="7">
        <v>6160</v>
      </c>
    </row>
    <row r="35" spans="1:2" x14ac:dyDescent="0.35">
      <c r="A35" s="6" t="s">
        <v>38</v>
      </c>
      <c r="B35" s="7">
        <v>3050</v>
      </c>
    </row>
    <row r="36" spans="1:2" x14ac:dyDescent="0.35">
      <c r="A36" s="6" t="s">
        <v>91</v>
      </c>
      <c r="B36" s="7">
        <v>2720</v>
      </c>
    </row>
    <row r="37" spans="1:2" x14ac:dyDescent="0.35">
      <c r="A37" s="6" t="s">
        <v>31</v>
      </c>
      <c r="B37" s="7">
        <v>2060</v>
      </c>
    </row>
    <row r="38" spans="1:2" x14ac:dyDescent="0.35">
      <c r="A38" s="6" t="s">
        <v>97</v>
      </c>
      <c r="B38" s="7">
        <v>1310</v>
      </c>
    </row>
    <row r="39" spans="1:2" x14ac:dyDescent="0.35">
      <c r="A39" s="6" t="s">
        <v>16</v>
      </c>
      <c r="B39" s="7">
        <v>1230</v>
      </c>
    </row>
    <row r="40" spans="1:2" x14ac:dyDescent="0.35">
      <c r="A40" s="6" t="s">
        <v>63</v>
      </c>
      <c r="B40" s="7">
        <v>916</v>
      </c>
    </row>
    <row r="41" spans="1:2" x14ac:dyDescent="0.35">
      <c r="A41" s="6" t="s">
        <v>95</v>
      </c>
      <c r="B41" s="7">
        <v>713</v>
      </c>
    </row>
    <row r="42" spans="1:2" x14ac:dyDescent="0.35">
      <c r="A42" s="6" t="s">
        <v>65</v>
      </c>
      <c r="B42" s="7">
        <v>566</v>
      </c>
    </row>
    <row r="43" spans="1:2" x14ac:dyDescent="0.35">
      <c r="A43" s="6" t="s">
        <v>80</v>
      </c>
      <c r="B43" s="7">
        <v>101</v>
      </c>
    </row>
    <row r="44" spans="1:2" x14ac:dyDescent="0.35">
      <c r="A44" s="6" t="s">
        <v>84</v>
      </c>
      <c r="B44" s="7">
        <v>5</v>
      </c>
    </row>
    <row r="45" spans="1:2" x14ac:dyDescent="0.35">
      <c r="A45" s="6" t="s">
        <v>109</v>
      </c>
      <c r="B45" s="7">
        <v>43869931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workbookViewId="0">
      <selection activeCell="O14" sqref="O14"/>
    </sheetView>
  </sheetViews>
  <sheetFormatPr defaultRowHeight="14.5" x14ac:dyDescent="0.35"/>
  <cols>
    <col min="1" max="1" width="36.08984375" bestFit="1" customWidth="1"/>
    <col min="2" max="2" width="9.1796875" bestFit="1" customWidth="1"/>
    <col min="3" max="3" width="21.26953125" bestFit="1" customWidth="1"/>
    <col min="4" max="4" width="11.90625" style="2" bestFit="1" customWidth="1"/>
    <col min="5" max="5" width="11.1796875" style="1" bestFit="1" customWidth="1"/>
    <col min="6" max="6" width="13.6328125" style="4" bestFit="1" customWidth="1"/>
    <col min="7" max="7" width="16.90625" style="4" customWidth="1"/>
    <col min="8" max="8" width="6" bestFit="1" customWidth="1"/>
    <col min="9" max="9" width="6.453125" bestFit="1" customWidth="1"/>
    <col min="10" max="10" width="14.81640625" style="2" bestFit="1" customWidth="1"/>
    <col min="11" max="11" width="16.90625" style="2" bestFit="1" customWidth="1"/>
    <col min="12" max="12" width="15" bestFit="1" customWidth="1"/>
  </cols>
  <sheetData>
    <row r="1" spans="1:12" x14ac:dyDescent="0.35">
      <c r="A1" t="s">
        <v>0</v>
      </c>
      <c r="B1" t="s">
        <v>1</v>
      </c>
      <c r="C1" t="s">
        <v>2</v>
      </c>
      <c r="D1" s="2" t="s">
        <v>3</v>
      </c>
      <c r="E1" s="1" t="s">
        <v>4</v>
      </c>
      <c r="F1" s="4" t="s">
        <v>5</v>
      </c>
      <c r="G1" s="4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s="2">
        <v>30.3</v>
      </c>
      <c r="E2" s="1">
        <v>1.17</v>
      </c>
      <c r="F2" s="4">
        <v>594430</v>
      </c>
      <c r="G2" s="4">
        <v>163760000000</v>
      </c>
      <c r="K2" s="2">
        <v>5.92</v>
      </c>
      <c r="L2" t="s">
        <v>15</v>
      </c>
    </row>
    <row r="3" spans="1:12" x14ac:dyDescent="0.35">
      <c r="A3" t="s">
        <v>16</v>
      </c>
      <c r="B3" t="s">
        <v>17</v>
      </c>
      <c r="C3" t="s">
        <v>18</v>
      </c>
      <c r="D3" s="2">
        <v>107</v>
      </c>
      <c r="E3" s="1">
        <v>2.88</v>
      </c>
      <c r="F3" s="4">
        <v>1230</v>
      </c>
      <c r="G3" s="4">
        <v>1310000000</v>
      </c>
      <c r="K3" s="2">
        <v>0</v>
      </c>
      <c r="L3" t="s">
        <v>19</v>
      </c>
    </row>
    <row r="4" spans="1:12" x14ac:dyDescent="0.35">
      <c r="A4" t="s">
        <v>20</v>
      </c>
      <c r="B4" t="s">
        <v>21</v>
      </c>
      <c r="C4" t="s">
        <v>22</v>
      </c>
      <c r="D4" s="2">
        <v>550</v>
      </c>
      <c r="E4" s="1">
        <v>-1.61</v>
      </c>
      <c r="F4" s="4">
        <v>12200</v>
      </c>
      <c r="G4" s="4">
        <v>55500000000</v>
      </c>
      <c r="H4">
        <v>10.48</v>
      </c>
      <c r="I4">
        <v>52.46</v>
      </c>
      <c r="J4" s="2">
        <v>17.010000000000002</v>
      </c>
      <c r="K4" s="2">
        <v>9.77</v>
      </c>
      <c r="L4" t="s">
        <v>19</v>
      </c>
    </row>
    <row r="5" spans="1:12" x14ac:dyDescent="0.35">
      <c r="A5" t="s">
        <v>23</v>
      </c>
      <c r="B5" t="s">
        <v>24</v>
      </c>
      <c r="C5" t="s">
        <v>14</v>
      </c>
      <c r="D5" s="2">
        <v>45.05</v>
      </c>
      <c r="E5" s="1">
        <v>-6.05</v>
      </c>
      <c r="F5" s="4">
        <v>6160</v>
      </c>
      <c r="G5" s="4">
        <v>42460000000</v>
      </c>
      <c r="H5">
        <v>4.71</v>
      </c>
      <c r="I5">
        <v>9.56</v>
      </c>
      <c r="J5" s="2">
        <v>-10.14</v>
      </c>
      <c r="K5" s="2">
        <v>5.69</v>
      </c>
      <c r="L5" t="s">
        <v>19</v>
      </c>
    </row>
    <row r="6" spans="1:12" x14ac:dyDescent="0.35">
      <c r="A6" t="s">
        <v>25</v>
      </c>
      <c r="B6" t="s">
        <v>26</v>
      </c>
      <c r="C6" t="s">
        <v>18</v>
      </c>
      <c r="D6" s="2">
        <v>125</v>
      </c>
      <c r="E6" s="1">
        <v>0.81</v>
      </c>
      <c r="F6" s="4">
        <v>45090</v>
      </c>
      <c r="G6" s="4">
        <v>2450000000</v>
      </c>
      <c r="K6" s="2">
        <v>6.88</v>
      </c>
      <c r="L6" t="s">
        <v>19</v>
      </c>
    </row>
    <row r="7" spans="1:12" x14ac:dyDescent="0.35">
      <c r="A7" t="s">
        <v>27</v>
      </c>
      <c r="B7" t="s">
        <v>28</v>
      </c>
      <c r="C7" t="s">
        <v>14</v>
      </c>
      <c r="D7" s="2">
        <v>11.8</v>
      </c>
      <c r="E7" s="1">
        <v>1.29</v>
      </c>
      <c r="F7" s="4">
        <v>146190</v>
      </c>
      <c r="G7" s="4">
        <v>29270000000</v>
      </c>
      <c r="H7">
        <v>6.26</v>
      </c>
      <c r="I7">
        <v>1.89</v>
      </c>
      <c r="J7" s="2">
        <v>30.37</v>
      </c>
      <c r="K7" s="2">
        <v>0</v>
      </c>
      <c r="L7" t="s">
        <v>19</v>
      </c>
    </row>
    <row r="8" spans="1:12" x14ac:dyDescent="0.35">
      <c r="A8" t="s">
        <v>29</v>
      </c>
      <c r="B8" t="s">
        <v>30</v>
      </c>
      <c r="C8" t="s">
        <v>18</v>
      </c>
      <c r="D8" s="2">
        <v>30.25</v>
      </c>
      <c r="E8" s="1">
        <v>0.83</v>
      </c>
      <c r="F8" s="4">
        <v>232450</v>
      </c>
      <c r="G8" s="4">
        <v>7630000000</v>
      </c>
      <c r="H8">
        <v>7.69</v>
      </c>
      <c r="I8">
        <v>3.94</v>
      </c>
      <c r="J8" s="2">
        <v>18.93</v>
      </c>
      <c r="K8" s="2">
        <v>6.6</v>
      </c>
      <c r="L8" t="s">
        <v>19</v>
      </c>
    </row>
    <row r="9" spans="1:12" x14ac:dyDescent="0.35">
      <c r="A9" t="s">
        <v>31</v>
      </c>
      <c r="B9" t="s">
        <v>32</v>
      </c>
      <c r="C9" t="s">
        <v>33</v>
      </c>
      <c r="D9" s="2">
        <v>69</v>
      </c>
      <c r="E9" s="1">
        <v>8.66</v>
      </c>
      <c r="F9" s="4">
        <v>2060</v>
      </c>
      <c r="G9" s="4">
        <v>5130000000</v>
      </c>
      <c r="K9" s="2">
        <v>1.24</v>
      </c>
      <c r="L9" t="s">
        <v>19</v>
      </c>
    </row>
    <row r="10" spans="1:12" x14ac:dyDescent="0.35">
      <c r="A10" t="s">
        <v>34</v>
      </c>
      <c r="B10" t="s">
        <v>35</v>
      </c>
      <c r="C10" t="s">
        <v>14</v>
      </c>
      <c r="D10" s="2">
        <v>5.0999999999999996</v>
      </c>
      <c r="E10" s="1">
        <v>4.51</v>
      </c>
      <c r="F10" s="4">
        <v>346140</v>
      </c>
      <c r="G10" s="4">
        <v>14130000000</v>
      </c>
      <c r="K10" s="2">
        <v>2.44</v>
      </c>
      <c r="L10" t="s">
        <v>19</v>
      </c>
    </row>
    <row r="11" spans="1:12" x14ac:dyDescent="0.35">
      <c r="A11" t="s">
        <v>36</v>
      </c>
      <c r="B11" t="s">
        <v>37</v>
      </c>
      <c r="C11" t="s">
        <v>14</v>
      </c>
      <c r="D11" s="2">
        <v>30</v>
      </c>
      <c r="E11" s="1">
        <v>0.33</v>
      </c>
      <c r="F11" s="4">
        <v>392740</v>
      </c>
      <c r="G11" s="4">
        <v>176020000000</v>
      </c>
      <c r="H11">
        <v>6.33</v>
      </c>
      <c r="I11">
        <v>4.74</v>
      </c>
      <c r="J11" s="2">
        <v>15.88</v>
      </c>
      <c r="K11" s="2">
        <v>8.3800000000000008</v>
      </c>
      <c r="L11" t="s">
        <v>15</v>
      </c>
    </row>
    <row r="12" spans="1:12" x14ac:dyDescent="0.35">
      <c r="A12" t="s">
        <v>38</v>
      </c>
      <c r="B12" t="s">
        <v>39</v>
      </c>
      <c r="C12" t="s">
        <v>18</v>
      </c>
      <c r="D12" s="2">
        <v>59.75</v>
      </c>
      <c r="E12" s="1">
        <v>-0.42</v>
      </c>
      <c r="F12" s="4">
        <v>3050</v>
      </c>
      <c r="G12" s="4">
        <v>7970000000</v>
      </c>
      <c r="H12">
        <v>9.3800000000000008</v>
      </c>
      <c r="I12">
        <v>6.37</v>
      </c>
      <c r="K12" s="2">
        <v>5.24</v>
      </c>
      <c r="L12" t="s">
        <v>19</v>
      </c>
    </row>
    <row r="13" spans="1:12" x14ac:dyDescent="0.35">
      <c r="A13" t="s">
        <v>40</v>
      </c>
      <c r="B13" t="s">
        <v>41</v>
      </c>
      <c r="C13" t="s">
        <v>14</v>
      </c>
      <c r="D13" s="2">
        <v>15</v>
      </c>
      <c r="E13" s="1">
        <v>-5.63</v>
      </c>
      <c r="F13" s="4">
        <v>210600</v>
      </c>
      <c r="G13" s="4">
        <v>9780000000</v>
      </c>
      <c r="K13" s="2">
        <v>2.23</v>
      </c>
      <c r="L13" t="s">
        <v>19</v>
      </c>
    </row>
    <row r="14" spans="1:12" x14ac:dyDescent="0.35">
      <c r="A14" t="s">
        <v>42</v>
      </c>
      <c r="B14" t="s">
        <v>43</v>
      </c>
      <c r="C14" t="s">
        <v>14</v>
      </c>
      <c r="D14" s="2">
        <v>156</v>
      </c>
      <c r="E14" s="1">
        <v>-0.64</v>
      </c>
      <c r="F14" s="4">
        <v>55910</v>
      </c>
      <c r="G14" s="4">
        <v>43900000000</v>
      </c>
      <c r="H14">
        <v>5.07</v>
      </c>
      <c r="I14">
        <v>30.78</v>
      </c>
      <c r="J14" s="2">
        <v>16.489999999999998</v>
      </c>
      <c r="K14" s="2">
        <v>4.51</v>
      </c>
      <c r="L14" t="s">
        <v>15</v>
      </c>
    </row>
    <row r="15" spans="1:12" x14ac:dyDescent="0.35">
      <c r="A15" t="s">
        <v>44</v>
      </c>
      <c r="B15" t="s">
        <v>45</v>
      </c>
      <c r="C15" t="s">
        <v>33</v>
      </c>
      <c r="D15" s="2">
        <v>257</v>
      </c>
      <c r="E15" s="1">
        <v>0.78</v>
      </c>
      <c r="F15" s="4">
        <v>6860</v>
      </c>
      <c r="G15" s="4">
        <v>201710000000</v>
      </c>
      <c r="H15">
        <v>15.96</v>
      </c>
      <c r="I15">
        <v>16.11</v>
      </c>
      <c r="J15" s="2">
        <v>45.35</v>
      </c>
      <c r="K15" s="2">
        <v>3.8</v>
      </c>
      <c r="L15" t="s">
        <v>15</v>
      </c>
    </row>
    <row r="16" spans="1:12" x14ac:dyDescent="0.35">
      <c r="A16" t="s">
        <v>46</v>
      </c>
      <c r="B16" t="s">
        <v>47</v>
      </c>
      <c r="C16" t="s">
        <v>22</v>
      </c>
      <c r="D16" s="2">
        <v>31</v>
      </c>
      <c r="E16" s="1">
        <v>3.33</v>
      </c>
      <c r="F16" s="4">
        <v>13340</v>
      </c>
      <c r="G16" s="4">
        <v>945000000</v>
      </c>
      <c r="K16" s="2">
        <v>0</v>
      </c>
      <c r="L16" t="s">
        <v>19</v>
      </c>
    </row>
    <row r="17" spans="1:12" x14ac:dyDescent="0.35">
      <c r="A17" t="s">
        <v>48</v>
      </c>
      <c r="B17" t="s">
        <v>49</v>
      </c>
      <c r="C17" t="s">
        <v>14</v>
      </c>
      <c r="D17" s="2">
        <v>74.5</v>
      </c>
      <c r="E17" s="1">
        <v>-0.67</v>
      </c>
      <c r="F17" s="4">
        <v>4110000.0000000005</v>
      </c>
      <c r="G17" s="4">
        <v>281140000000</v>
      </c>
      <c r="H17">
        <v>4.7300000000000004</v>
      </c>
      <c r="I17">
        <v>15.74</v>
      </c>
      <c r="J17" s="2">
        <v>27.22</v>
      </c>
      <c r="K17" s="2">
        <v>5.7</v>
      </c>
      <c r="L17" t="s">
        <v>50</v>
      </c>
    </row>
    <row r="18" spans="1:12" x14ac:dyDescent="0.35">
      <c r="A18" t="s">
        <v>51</v>
      </c>
      <c r="B18" t="s">
        <v>52</v>
      </c>
      <c r="C18" t="s">
        <v>53</v>
      </c>
      <c r="D18" s="2">
        <v>1.1299999999999999</v>
      </c>
      <c r="E18" s="1">
        <v>9.7100000000000009</v>
      </c>
      <c r="F18" s="4">
        <v>6430000</v>
      </c>
      <c r="G18" s="4">
        <v>237000000</v>
      </c>
      <c r="K18" s="2">
        <v>0</v>
      </c>
      <c r="L18" t="s">
        <v>19</v>
      </c>
    </row>
    <row r="19" spans="1:12" x14ac:dyDescent="0.35">
      <c r="A19" t="s">
        <v>54</v>
      </c>
      <c r="B19" t="s">
        <v>55</v>
      </c>
      <c r="C19" t="s">
        <v>53</v>
      </c>
      <c r="D19" s="2">
        <v>2.44</v>
      </c>
      <c r="E19" s="1">
        <v>4.2699999999999996</v>
      </c>
      <c r="F19" s="4">
        <v>170540</v>
      </c>
      <c r="G19" s="4">
        <v>418000000</v>
      </c>
      <c r="H19">
        <v>2.0099999999999998</v>
      </c>
      <c r="I19">
        <v>1.21</v>
      </c>
      <c r="K19" s="2">
        <v>0</v>
      </c>
      <c r="L19" t="s">
        <v>19</v>
      </c>
    </row>
    <row r="20" spans="1:12" x14ac:dyDescent="0.35">
      <c r="A20" t="s">
        <v>56</v>
      </c>
      <c r="B20" t="s">
        <v>57</v>
      </c>
      <c r="C20" t="s">
        <v>58</v>
      </c>
      <c r="D20" s="2">
        <v>1.55</v>
      </c>
      <c r="E20" s="1">
        <v>1.31</v>
      </c>
      <c r="F20" s="4">
        <v>1700000</v>
      </c>
      <c r="G20" s="4">
        <v>591000000</v>
      </c>
      <c r="H20">
        <v>9.26</v>
      </c>
      <c r="I20">
        <v>0.17</v>
      </c>
      <c r="J20" s="2">
        <v>-30.65</v>
      </c>
      <c r="K20" s="2">
        <v>0</v>
      </c>
      <c r="L20" t="s">
        <v>19</v>
      </c>
    </row>
    <row r="21" spans="1:12" x14ac:dyDescent="0.35">
      <c r="A21" t="s">
        <v>59</v>
      </c>
      <c r="B21" t="s">
        <v>60</v>
      </c>
      <c r="C21" t="s">
        <v>14</v>
      </c>
      <c r="D21" s="2">
        <v>10.7</v>
      </c>
      <c r="E21" s="1">
        <v>3.88</v>
      </c>
      <c r="F21" s="4">
        <v>169160</v>
      </c>
      <c r="G21" s="4">
        <v>19800000000</v>
      </c>
      <c r="H21">
        <v>4</v>
      </c>
      <c r="I21">
        <v>2.68</v>
      </c>
      <c r="J21" s="2">
        <v>71.28</v>
      </c>
      <c r="K21" s="2">
        <v>0</v>
      </c>
      <c r="L21" t="s">
        <v>19</v>
      </c>
    </row>
    <row r="22" spans="1:12" x14ac:dyDescent="0.35">
      <c r="A22" t="s">
        <v>61</v>
      </c>
      <c r="B22" t="s">
        <v>62</v>
      </c>
      <c r="C22" t="s">
        <v>14</v>
      </c>
      <c r="D22" s="2">
        <v>49.95</v>
      </c>
      <c r="E22" s="1">
        <v>0.91</v>
      </c>
      <c r="F22" s="4">
        <v>644330</v>
      </c>
      <c r="G22" s="4">
        <v>81940000000</v>
      </c>
      <c r="H22">
        <v>4.59</v>
      </c>
      <c r="I22">
        <v>10.89</v>
      </c>
      <c r="J22" s="2">
        <v>28.5</v>
      </c>
      <c r="K22" s="2">
        <v>6.45</v>
      </c>
      <c r="L22" t="s">
        <v>19</v>
      </c>
    </row>
    <row r="23" spans="1:12" x14ac:dyDescent="0.35">
      <c r="A23" t="s">
        <v>63</v>
      </c>
      <c r="B23" t="s">
        <v>64</v>
      </c>
      <c r="C23" t="s">
        <v>14</v>
      </c>
      <c r="D23" s="2">
        <v>383.75</v>
      </c>
      <c r="E23" s="1">
        <v>0</v>
      </c>
      <c r="F23" s="4">
        <v>916</v>
      </c>
      <c r="G23" s="4">
        <v>27450000000</v>
      </c>
      <c r="H23">
        <v>5.27</v>
      </c>
      <c r="I23">
        <v>72.819999999999993</v>
      </c>
      <c r="J23" s="2">
        <v>8.16</v>
      </c>
      <c r="K23" s="2">
        <v>3.52</v>
      </c>
      <c r="L23" t="s">
        <v>19</v>
      </c>
    </row>
    <row r="24" spans="1:12" x14ac:dyDescent="0.35">
      <c r="A24" t="s">
        <v>65</v>
      </c>
      <c r="B24" t="s">
        <v>66</v>
      </c>
      <c r="C24" t="s">
        <v>18</v>
      </c>
      <c r="D24" s="2">
        <v>255</v>
      </c>
      <c r="E24" s="1">
        <v>0.39</v>
      </c>
      <c r="F24" s="4">
        <v>566</v>
      </c>
      <c r="G24" s="4">
        <v>3820000000</v>
      </c>
      <c r="H24">
        <v>7.73</v>
      </c>
      <c r="I24">
        <v>32.99</v>
      </c>
      <c r="J24" s="2">
        <v>29.39</v>
      </c>
      <c r="K24" s="2">
        <v>10.130000000000001</v>
      </c>
      <c r="L24" t="s">
        <v>19</v>
      </c>
    </row>
    <row r="25" spans="1:12" x14ac:dyDescent="0.35">
      <c r="A25" t="s">
        <v>67</v>
      </c>
      <c r="B25" t="s">
        <v>68</v>
      </c>
      <c r="C25" t="s">
        <v>14</v>
      </c>
      <c r="D25" s="2">
        <v>78.5</v>
      </c>
      <c r="E25" s="1">
        <v>4.32</v>
      </c>
      <c r="F25" s="4">
        <v>2780000</v>
      </c>
      <c r="G25" s="4">
        <v>249040000000</v>
      </c>
      <c r="H25">
        <v>4.09</v>
      </c>
      <c r="I25">
        <v>19.170000000000002</v>
      </c>
      <c r="J25" s="2">
        <v>21.38</v>
      </c>
      <c r="K25" s="2">
        <v>4.71</v>
      </c>
      <c r="L25" t="s">
        <v>69</v>
      </c>
    </row>
    <row r="26" spans="1:12" x14ac:dyDescent="0.35">
      <c r="A26" t="s">
        <v>70</v>
      </c>
      <c r="B26" t="s">
        <v>71</v>
      </c>
      <c r="C26" t="s">
        <v>72</v>
      </c>
      <c r="D26" s="2">
        <v>9.2799999999999994</v>
      </c>
      <c r="E26" s="1">
        <v>-0.22</v>
      </c>
      <c r="F26" s="4">
        <v>1140000</v>
      </c>
      <c r="G26" s="4">
        <v>61200000000</v>
      </c>
      <c r="K26" s="2">
        <v>9.68</v>
      </c>
      <c r="L26" t="s">
        <v>19</v>
      </c>
    </row>
    <row r="27" spans="1:12" x14ac:dyDescent="0.35">
      <c r="A27" t="s">
        <v>73</v>
      </c>
      <c r="B27" t="s">
        <v>74</v>
      </c>
      <c r="C27" t="s">
        <v>14</v>
      </c>
      <c r="D27" s="2">
        <v>3.77</v>
      </c>
      <c r="E27" s="1">
        <v>10.23</v>
      </c>
      <c r="F27" s="4">
        <v>3490000</v>
      </c>
      <c r="G27" s="4">
        <v>19710000000</v>
      </c>
      <c r="H27">
        <v>4.26</v>
      </c>
      <c r="I27">
        <v>0.89</v>
      </c>
      <c r="J27" s="2">
        <v>34.4</v>
      </c>
      <c r="K27" s="2">
        <v>4.37</v>
      </c>
      <c r="L27" t="s">
        <v>19</v>
      </c>
    </row>
    <row r="28" spans="1:12" x14ac:dyDescent="0.35">
      <c r="A28" t="s">
        <v>75</v>
      </c>
      <c r="B28" t="s">
        <v>76</v>
      </c>
      <c r="C28" t="s">
        <v>72</v>
      </c>
      <c r="D28" s="2">
        <v>17.5</v>
      </c>
      <c r="E28" s="1">
        <v>2.34</v>
      </c>
      <c r="F28" s="4">
        <v>1050000</v>
      </c>
      <c r="G28" s="4">
        <v>33270000000.000004</v>
      </c>
      <c r="H28">
        <v>1.4</v>
      </c>
      <c r="I28">
        <v>12.54</v>
      </c>
      <c r="J28" s="2">
        <v>-18.649999999999999</v>
      </c>
      <c r="K28" s="2">
        <v>5.92</v>
      </c>
      <c r="L28" t="s">
        <v>19</v>
      </c>
    </row>
    <row r="29" spans="1:12" x14ac:dyDescent="0.35">
      <c r="A29" t="s">
        <v>77</v>
      </c>
      <c r="B29" t="s">
        <v>78</v>
      </c>
      <c r="C29" t="s">
        <v>79</v>
      </c>
      <c r="D29" s="2">
        <v>4.91</v>
      </c>
      <c r="E29" s="1">
        <v>2.29</v>
      </c>
      <c r="F29" s="4">
        <v>35640</v>
      </c>
      <c r="G29" s="4">
        <v>27200000000</v>
      </c>
      <c r="I29">
        <v>-1.27</v>
      </c>
      <c r="J29" s="2">
        <v>-1494.08</v>
      </c>
      <c r="K29" s="2">
        <v>0</v>
      </c>
      <c r="L29" t="s">
        <v>19</v>
      </c>
    </row>
    <row r="30" spans="1:12" x14ac:dyDescent="0.35">
      <c r="A30" t="s">
        <v>80</v>
      </c>
      <c r="B30" t="s">
        <v>81</v>
      </c>
      <c r="C30" t="s">
        <v>18</v>
      </c>
      <c r="D30" s="2">
        <v>430</v>
      </c>
      <c r="E30" s="1">
        <v>-0.46</v>
      </c>
      <c r="F30" s="4">
        <v>101</v>
      </c>
      <c r="G30" s="4">
        <v>8410000000</v>
      </c>
      <c r="I30">
        <v>-9.3699999999999992</v>
      </c>
      <c r="J30" s="2">
        <v>-126.87</v>
      </c>
      <c r="K30" s="2">
        <v>1.9</v>
      </c>
      <c r="L30" t="s">
        <v>19</v>
      </c>
    </row>
    <row r="31" spans="1:12" x14ac:dyDescent="0.35">
      <c r="A31" t="s">
        <v>82</v>
      </c>
      <c r="B31" t="s">
        <v>83</v>
      </c>
      <c r="C31" t="s">
        <v>14</v>
      </c>
      <c r="D31" s="2">
        <v>10.25</v>
      </c>
      <c r="E31" s="1">
        <v>3.54</v>
      </c>
      <c r="F31" s="4">
        <v>11610</v>
      </c>
      <c r="G31" s="4">
        <v>5380000000</v>
      </c>
      <c r="H31">
        <v>4.76</v>
      </c>
      <c r="I31">
        <v>2.15</v>
      </c>
      <c r="K31" s="2">
        <v>9.85</v>
      </c>
      <c r="L31" t="s">
        <v>19</v>
      </c>
    </row>
    <row r="32" spans="1:12" x14ac:dyDescent="0.35">
      <c r="A32" t="s">
        <v>84</v>
      </c>
      <c r="B32" t="s">
        <v>85</v>
      </c>
      <c r="C32" t="s">
        <v>18</v>
      </c>
      <c r="D32" s="2">
        <v>510</v>
      </c>
      <c r="E32" s="1">
        <v>0</v>
      </c>
      <c r="F32" s="4">
        <v>5</v>
      </c>
      <c r="G32" s="4">
        <v>1230000000</v>
      </c>
      <c r="I32">
        <v>-12.78</v>
      </c>
      <c r="J32" s="2">
        <v>-11329.88</v>
      </c>
      <c r="K32" s="2">
        <v>0</v>
      </c>
      <c r="L32" t="s">
        <v>19</v>
      </c>
    </row>
    <row r="33" spans="1:12" x14ac:dyDescent="0.35">
      <c r="A33" t="s">
        <v>86</v>
      </c>
      <c r="B33" t="s">
        <v>87</v>
      </c>
      <c r="C33" t="s">
        <v>88</v>
      </c>
      <c r="D33" s="2">
        <v>3.1</v>
      </c>
      <c r="E33" s="1">
        <v>5.08</v>
      </c>
      <c r="F33" s="4">
        <v>8550</v>
      </c>
      <c r="G33" s="4">
        <v>814000000</v>
      </c>
      <c r="I33">
        <v>-0.45</v>
      </c>
      <c r="J33" s="2">
        <v>35.93</v>
      </c>
      <c r="K33" s="2">
        <v>0</v>
      </c>
      <c r="L33" t="s">
        <v>19</v>
      </c>
    </row>
    <row r="34" spans="1:12" x14ac:dyDescent="0.35">
      <c r="A34" t="s">
        <v>89</v>
      </c>
      <c r="B34" t="s">
        <v>90</v>
      </c>
      <c r="C34" t="s">
        <v>14</v>
      </c>
      <c r="D34" s="2">
        <v>88</v>
      </c>
      <c r="E34" s="1">
        <v>0</v>
      </c>
      <c r="F34" s="4">
        <v>71050</v>
      </c>
      <c r="G34" s="4">
        <v>144980000000</v>
      </c>
      <c r="H34">
        <v>6.26</v>
      </c>
      <c r="I34">
        <v>14.06</v>
      </c>
      <c r="J34" s="2">
        <v>5.71</v>
      </c>
      <c r="K34" s="2">
        <v>6.55</v>
      </c>
      <c r="L34" t="s">
        <v>19</v>
      </c>
    </row>
    <row r="35" spans="1:12" x14ac:dyDescent="0.35">
      <c r="A35" t="s">
        <v>91</v>
      </c>
      <c r="B35" t="s">
        <v>92</v>
      </c>
      <c r="C35" t="s">
        <v>88</v>
      </c>
      <c r="D35" s="2">
        <v>14</v>
      </c>
      <c r="E35" s="1">
        <v>0</v>
      </c>
      <c r="F35" s="4">
        <v>2720</v>
      </c>
      <c r="G35" s="4">
        <v>2650000000</v>
      </c>
      <c r="I35">
        <v>-0.24</v>
      </c>
      <c r="J35" s="2">
        <v>90.65</v>
      </c>
      <c r="K35" s="2">
        <v>0</v>
      </c>
      <c r="L35" t="s">
        <v>19</v>
      </c>
    </row>
    <row r="36" spans="1:12" x14ac:dyDescent="0.35">
      <c r="A36" t="s">
        <v>93</v>
      </c>
      <c r="B36" t="s">
        <v>94</v>
      </c>
      <c r="C36" t="s">
        <v>14</v>
      </c>
      <c r="D36" s="2">
        <v>21.5</v>
      </c>
      <c r="E36" s="1">
        <v>0.47</v>
      </c>
      <c r="F36" s="4">
        <v>228740</v>
      </c>
      <c r="G36" s="4">
        <v>5570000000</v>
      </c>
      <c r="K36" s="2">
        <v>1.5</v>
      </c>
      <c r="L36" t="s">
        <v>19</v>
      </c>
    </row>
    <row r="37" spans="1:12" x14ac:dyDescent="0.35">
      <c r="A37" t="s">
        <v>95</v>
      </c>
      <c r="B37" t="s">
        <v>96</v>
      </c>
      <c r="C37" t="s">
        <v>53</v>
      </c>
      <c r="D37" s="2">
        <v>7.78</v>
      </c>
      <c r="E37" s="1">
        <v>-2.75</v>
      </c>
      <c r="F37" s="4">
        <v>713</v>
      </c>
      <c r="G37" s="4">
        <v>310000000</v>
      </c>
      <c r="H37">
        <v>30.19</v>
      </c>
      <c r="I37">
        <v>0.26</v>
      </c>
      <c r="J37" s="2">
        <v>-50.63</v>
      </c>
      <c r="K37" s="2">
        <v>0</v>
      </c>
      <c r="L37" t="s">
        <v>19</v>
      </c>
    </row>
    <row r="38" spans="1:12" x14ac:dyDescent="0.35">
      <c r="A38" t="s">
        <v>97</v>
      </c>
      <c r="B38" t="s">
        <v>98</v>
      </c>
      <c r="C38" t="s">
        <v>99</v>
      </c>
      <c r="D38" s="2">
        <v>84</v>
      </c>
      <c r="E38" s="1">
        <v>1.2</v>
      </c>
      <c r="F38" s="4">
        <v>1310</v>
      </c>
      <c r="G38" s="4">
        <v>7400000000</v>
      </c>
      <c r="K38" s="2">
        <v>1.19</v>
      </c>
      <c r="L38" t="s">
        <v>19</v>
      </c>
    </row>
    <row r="39" spans="1:12" x14ac:dyDescent="0.35">
      <c r="A39" t="s">
        <v>100</v>
      </c>
      <c r="B39" t="s">
        <v>101</v>
      </c>
      <c r="C39" t="s">
        <v>18</v>
      </c>
      <c r="D39" s="2">
        <v>29</v>
      </c>
      <c r="E39" s="1">
        <v>1.75</v>
      </c>
      <c r="F39" s="4">
        <v>34410</v>
      </c>
      <c r="G39" s="4">
        <v>6390000000</v>
      </c>
      <c r="H39">
        <v>34.43</v>
      </c>
      <c r="I39">
        <v>0.84</v>
      </c>
      <c r="K39" s="2">
        <v>0</v>
      </c>
      <c r="L39" t="s">
        <v>19</v>
      </c>
    </row>
    <row r="40" spans="1:12" x14ac:dyDescent="0.35">
      <c r="A40" t="s">
        <v>102</v>
      </c>
      <c r="B40" t="s">
        <v>103</v>
      </c>
      <c r="C40" t="s">
        <v>14</v>
      </c>
      <c r="D40" s="2">
        <v>257.75</v>
      </c>
      <c r="E40" s="1">
        <v>0.1</v>
      </c>
      <c r="F40" s="4">
        <v>357460</v>
      </c>
      <c r="G40" s="4">
        <v>100810000000</v>
      </c>
      <c r="H40">
        <v>7.81</v>
      </c>
      <c r="I40">
        <v>33</v>
      </c>
      <c r="J40" s="2">
        <v>5.9</v>
      </c>
      <c r="K40" s="2">
        <v>8.9</v>
      </c>
      <c r="L40" t="s">
        <v>19</v>
      </c>
    </row>
    <row r="41" spans="1:12" x14ac:dyDescent="0.35">
      <c r="A41" t="s">
        <v>104</v>
      </c>
      <c r="B41" t="s">
        <v>105</v>
      </c>
      <c r="C41" t="s">
        <v>14</v>
      </c>
      <c r="D41" s="2">
        <v>354</v>
      </c>
      <c r="E41" s="1">
        <v>0.21</v>
      </c>
      <c r="F41" s="4">
        <v>13660</v>
      </c>
      <c r="G41" s="4">
        <v>128570000000</v>
      </c>
      <c r="H41">
        <v>9.5500000000000007</v>
      </c>
      <c r="I41">
        <v>37.049999999999997</v>
      </c>
      <c r="J41" s="2">
        <v>-29.79</v>
      </c>
      <c r="K41" s="2">
        <v>12.67</v>
      </c>
      <c r="L41" t="s">
        <v>15</v>
      </c>
    </row>
    <row r="42" spans="1:12" x14ac:dyDescent="0.35">
      <c r="A42" t="s">
        <v>106</v>
      </c>
      <c r="B42" t="s">
        <v>107</v>
      </c>
      <c r="C42" t="s">
        <v>108</v>
      </c>
      <c r="D42" s="2">
        <v>30.6</v>
      </c>
      <c r="E42" s="1">
        <v>-0.16</v>
      </c>
      <c r="F42" s="4">
        <v>19350000</v>
      </c>
      <c r="G42" s="4">
        <v>1210000000000</v>
      </c>
      <c r="H42">
        <v>14.51</v>
      </c>
      <c r="I42">
        <v>2.11</v>
      </c>
      <c r="J42" s="2">
        <v>48.37</v>
      </c>
      <c r="K42" s="2">
        <v>4.88</v>
      </c>
      <c r="L42" t="s">
        <v>50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Market Cap by Sector</vt:lpstr>
      <vt:lpstr>Top Companies</vt:lpstr>
      <vt:lpstr>Dividend Yield</vt:lpstr>
      <vt:lpstr>P E by Sector</vt:lpstr>
      <vt:lpstr>Trading Volume</vt:lpstr>
      <vt:lpstr>NSE_Stocks_40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Nimrod</cp:lastModifiedBy>
  <dcterms:created xsi:type="dcterms:W3CDTF">2026-03-07T17:42:34Z</dcterms:created>
  <dcterms:modified xsi:type="dcterms:W3CDTF">2026-03-07T20:20:43Z</dcterms:modified>
</cp:coreProperties>
</file>